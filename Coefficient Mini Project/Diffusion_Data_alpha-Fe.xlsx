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 Bali\Desktop\Spring 2026\MTEN 6020 - Materials Kinetics\Coeff Mini Project\"/>
    </mc:Choice>
  </mc:AlternateContent>
  <xr:revisionPtr revIDLastSave="0" documentId="13_ncr:1_{D439B7F3-C464-43E4-B111-6B85288C3303}" xr6:coauthVersionLast="47" xr6:coauthVersionMax="47" xr10:uidLastSave="{00000000-0000-0000-0000-000000000000}"/>
  <bookViews>
    <workbookView xWindow="-108" yWindow="-108" windowWidth="23256" windowHeight="12576" activeTab="5" xr2:uid="{3B0B9CE4-54B4-43AC-B2A7-FEF0415A5B62}"/>
  </bookViews>
  <sheets>
    <sheet name="References" sheetId="1" r:id="rId1"/>
    <sheet name="Interstitial" sheetId="2" r:id="rId2"/>
    <sheet name="Substitutional" sheetId="3" r:id="rId3"/>
    <sheet name="Combined" sheetId="4" r:id="rId4"/>
    <sheet name="Structure Dep." sheetId="5" r:id="rId5"/>
    <sheet name="Tm Normaliz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6" l="1"/>
  <c r="Q38" i="6"/>
  <c r="Q37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54" i="6"/>
  <c r="J65" i="6"/>
  <c r="J74" i="6"/>
  <c r="S17" i="6"/>
  <c r="S18" i="6"/>
  <c r="D23" i="6"/>
  <c r="AC83" i="6"/>
  <c r="AA83" i="6"/>
  <c r="Z83" i="6"/>
  <c r="AC82" i="6"/>
  <c r="AA82" i="6"/>
  <c r="Z82" i="6"/>
  <c r="AC81" i="6"/>
  <c r="AA81" i="6"/>
  <c r="Z81" i="6"/>
  <c r="AC80" i="6"/>
  <c r="AA80" i="6"/>
  <c r="Z80" i="6"/>
  <c r="AC79" i="6"/>
  <c r="AA79" i="6"/>
  <c r="Z79" i="6"/>
  <c r="AC78" i="6"/>
  <c r="AA78" i="6"/>
  <c r="Z78" i="6"/>
  <c r="AC77" i="6"/>
  <c r="AA77" i="6"/>
  <c r="Z77" i="6"/>
  <c r="AC76" i="6"/>
  <c r="AA76" i="6"/>
  <c r="Z76" i="6"/>
  <c r="AC75" i="6"/>
  <c r="AA75" i="6"/>
  <c r="Z75" i="6"/>
  <c r="W75" i="6"/>
  <c r="U75" i="6"/>
  <c r="T75" i="6"/>
  <c r="AC74" i="6"/>
  <c r="AA74" i="6"/>
  <c r="Z74" i="6"/>
  <c r="W74" i="6"/>
  <c r="U74" i="6"/>
  <c r="T74" i="6"/>
  <c r="AC73" i="6"/>
  <c r="AA73" i="6"/>
  <c r="Z73" i="6"/>
  <c r="W73" i="6"/>
  <c r="U73" i="6"/>
  <c r="T73" i="6"/>
  <c r="Q73" i="6"/>
  <c r="O73" i="6"/>
  <c r="N73" i="6"/>
  <c r="AC72" i="6"/>
  <c r="AA72" i="6"/>
  <c r="Z72" i="6"/>
  <c r="W72" i="6"/>
  <c r="U72" i="6"/>
  <c r="T72" i="6"/>
  <c r="Q72" i="6"/>
  <c r="O72" i="6"/>
  <c r="N72" i="6"/>
  <c r="AC71" i="6"/>
  <c r="AA71" i="6"/>
  <c r="Z71" i="6"/>
  <c r="W71" i="6"/>
  <c r="U71" i="6"/>
  <c r="T71" i="6"/>
  <c r="Q71" i="6"/>
  <c r="O71" i="6"/>
  <c r="N71" i="6"/>
  <c r="AC70" i="6"/>
  <c r="AA70" i="6"/>
  <c r="Z70" i="6"/>
  <c r="W70" i="6"/>
  <c r="U70" i="6"/>
  <c r="T70" i="6"/>
  <c r="Q70" i="6"/>
  <c r="O70" i="6"/>
  <c r="N70" i="6"/>
  <c r="AC69" i="6"/>
  <c r="AA69" i="6"/>
  <c r="Z69" i="6"/>
  <c r="W69" i="6"/>
  <c r="U69" i="6"/>
  <c r="T69" i="6"/>
  <c r="Q69" i="6"/>
  <c r="O69" i="6"/>
  <c r="N69" i="6"/>
  <c r="AC68" i="6"/>
  <c r="AA68" i="6"/>
  <c r="Z68" i="6"/>
  <c r="W68" i="6"/>
  <c r="U68" i="6"/>
  <c r="T68" i="6"/>
  <c r="Q68" i="6"/>
  <c r="O68" i="6"/>
  <c r="N68" i="6"/>
  <c r="AC67" i="6"/>
  <c r="AA67" i="6"/>
  <c r="Z67" i="6"/>
  <c r="W67" i="6"/>
  <c r="U67" i="6"/>
  <c r="T67" i="6"/>
  <c r="Q67" i="6"/>
  <c r="O67" i="6"/>
  <c r="N67" i="6"/>
  <c r="AC66" i="6"/>
  <c r="AA66" i="6"/>
  <c r="Z66" i="6"/>
  <c r="W66" i="6"/>
  <c r="U66" i="6"/>
  <c r="T66" i="6"/>
  <c r="Q66" i="6"/>
  <c r="O66" i="6"/>
  <c r="N66" i="6"/>
  <c r="AC65" i="6"/>
  <c r="AA65" i="6"/>
  <c r="Z65" i="6"/>
  <c r="W65" i="6"/>
  <c r="U65" i="6"/>
  <c r="T65" i="6"/>
  <c r="Q65" i="6"/>
  <c r="O65" i="6"/>
  <c r="N65" i="6"/>
  <c r="AC64" i="6"/>
  <c r="AA64" i="6"/>
  <c r="Z64" i="6"/>
  <c r="W64" i="6"/>
  <c r="U64" i="6"/>
  <c r="T64" i="6"/>
  <c r="Q64" i="6"/>
  <c r="O64" i="6"/>
  <c r="N64" i="6"/>
  <c r="AC63" i="6"/>
  <c r="AA63" i="6"/>
  <c r="Z63" i="6"/>
  <c r="W63" i="6"/>
  <c r="U63" i="6"/>
  <c r="T63" i="6"/>
  <c r="Q63" i="6"/>
  <c r="O63" i="6"/>
  <c r="N63" i="6"/>
  <c r="AC62" i="6"/>
  <c r="AA62" i="6"/>
  <c r="Z62" i="6"/>
  <c r="W62" i="6"/>
  <c r="U62" i="6"/>
  <c r="T62" i="6"/>
  <c r="Q62" i="6"/>
  <c r="O62" i="6"/>
  <c r="N62" i="6"/>
  <c r="AC61" i="6"/>
  <c r="AA61" i="6"/>
  <c r="Z61" i="6"/>
  <c r="W61" i="6"/>
  <c r="U61" i="6"/>
  <c r="T61" i="6"/>
  <c r="Q61" i="6"/>
  <c r="O61" i="6"/>
  <c r="N61" i="6"/>
  <c r="AC60" i="6"/>
  <c r="AA60" i="6"/>
  <c r="Z60" i="6"/>
  <c r="W60" i="6"/>
  <c r="U60" i="6"/>
  <c r="T60" i="6"/>
  <c r="Q60" i="6"/>
  <c r="O60" i="6"/>
  <c r="N60" i="6"/>
  <c r="AC59" i="6"/>
  <c r="AA59" i="6"/>
  <c r="Z59" i="6"/>
  <c r="W59" i="6"/>
  <c r="U59" i="6"/>
  <c r="T59" i="6"/>
  <c r="Q59" i="6"/>
  <c r="O59" i="6"/>
  <c r="N59" i="6"/>
  <c r="AC58" i="6"/>
  <c r="AA58" i="6"/>
  <c r="Z58" i="6"/>
  <c r="W58" i="6"/>
  <c r="U58" i="6"/>
  <c r="T58" i="6"/>
  <c r="Q58" i="6"/>
  <c r="O58" i="6"/>
  <c r="N58" i="6"/>
  <c r="AC57" i="6"/>
  <c r="AA57" i="6"/>
  <c r="Z57" i="6"/>
  <c r="W57" i="6"/>
  <c r="U57" i="6"/>
  <c r="T57" i="6"/>
  <c r="Q57" i="6"/>
  <c r="O57" i="6"/>
  <c r="N57" i="6"/>
  <c r="AC56" i="6"/>
  <c r="AA56" i="6"/>
  <c r="Z56" i="6"/>
  <c r="W56" i="6"/>
  <c r="U56" i="6"/>
  <c r="T56" i="6"/>
  <c r="Q56" i="6"/>
  <c r="O56" i="6"/>
  <c r="N56" i="6"/>
  <c r="AC55" i="6"/>
  <c r="AA55" i="6"/>
  <c r="Z55" i="6"/>
  <c r="W55" i="6"/>
  <c r="U55" i="6"/>
  <c r="T55" i="6"/>
  <c r="Q55" i="6"/>
  <c r="O55" i="6"/>
  <c r="N55" i="6"/>
  <c r="AC54" i="6"/>
  <c r="AA54" i="6"/>
  <c r="Z54" i="6"/>
  <c r="W54" i="6"/>
  <c r="U54" i="6"/>
  <c r="T54" i="6"/>
  <c r="Q54" i="6"/>
  <c r="O54" i="6"/>
  <c r="N54" i="6"/>
  <c r="H79" i="6"/>
  <c r="I79" i="6" s="1"/>
  <c r="H78" i="6"/>
  <c r="I78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F59" i="6"/>
  <c r="C59" i="6"/>
  <c r="E59" i="6" s="1"/>
  <c r="H58" i="6"/>
  <c r="I58" i="6" s="1"/>
  <c r="F58" i="6"/>
  <c r="C58" i="6"/>
  <c r="E58" i="6" s="1"/>
  <c r="H57" i="6"/>
  <c r="I57" i="6" s="1"/>
  <c r="F57" i="6"/>
  <c r="C57" i="6"/>
  <c r="E57" i="6" s="1"/>
  <c r="H56" i="6"/>
  <c r="I56" i="6" s="1"/>
  <c r="F56" i="6"/>
  <c r="C56" i="6"/>
  <c r="E56" i="6" s="1"/>
  <c r="H55" i="6"/>
  <c r="I55" i="6" s="1"/>
  <c r="F55" i="6"/>
  <c r="C55" i="6"/>
  <c r="E55" i="6" s="1"/>
  <c r="H54" i="6"/>
  <c r="I54" i="6" s="1"/>
  <c r="F54" i="6"/>
  <c r="C54" i="6"/>
  <c r="E54" i="6" s="1"/>
  <c r="N26" i="6"/>
  <c r="O26" i="6" s="1"/>
  <c r="J26" i="6"/>
  <c r="L26" i="6" s="1"/>
  <c r="H26" i="6"/>
  <c r="N25" i="6"/>
  <c r="O25" i="6" s="1"/>
  <c r="J25" i="6"/>
  <c r="L25" i="6" s="1"/>
  <c r="H25" i="6"/>
  <c r="N24" i="6"/>
  <c r="O24" i="6" s="1"/>
  <c r="J24" i="6"/>
  <c r="L24" i="6" s="1"/>
  <c r="H24" i="6"/>
  <c r="F24" i="6"/>
  <c r="C24" i="6"/>
  <c r="E24" i="6" s="1"/>
  <c r="N23" i="6"/>
  <c r="O23" i="6" s="1"/>
  <c r="J23" i="6"/>
  <c r="L23" i="6" s="1"/>
  <c r="H23" i="6"/>
  <c r="F23" i="6"/>
  <c r="C23" i="6"/>
  <c r="E23" i="6" s="1"/>
  <c r="N22" i="6"/>
  <c r="O22" i="6" s="1"/>
  <c r="J22" i="6"/>
  <c r="L22" i="6" s="1"/>
  <c r="H22" i="6"/>
  <c r="F22" i="6"/>
  <c r="C22" i="6"/>
  <c r="E22" i="6" s="1"/>
  <c r="N21" i="6"/>
  <c r="O21" i="6" s="1"/>
  <c r="J21" i="6"/>
  <c r="L21" i="6" s="1"/>
  <c r="H21" i="6"/>
  <c r="F21" i="6"/>
  <c r="C21" i="6"/>
  <c r="E21" i="6" s="1"/>
  <c r="R20" i="6"/>
  <c r="P20" i="6" s="1"/>
  <c r="N20" i="6"/>
  <c r="O20" i="6" s="1"/>
  <c r="J20" i="6"/>
  <c r="L20" i="6" s="1"/>
  <c r="H20" i="6"/>
  <c r="F20" i="6"/>
  <c r="C20" i="6"/>
  <c r="E20" i="6" s="1"/>
  <c r="U19" i="6"/>
  <c r="R19" i="6"/>
  <c r="T19" i="6" s="1"/>
  <c r="N19" i="6"/>
  <c r="O19" i="6" s="1"/>
  <c r="J19" i="6"/>
  <c r="L19" i="6" s="1"/>
  <c r="H19" i="6"/>
  <c r="F19" i="6"/>
  <c r="C19" i="6"/>
  <c r="E19" i="6" s="1"/>
  <c r="U18" i="6"/>
  <c r="R18" i="6"/>
  <c r="T18" i="6" s="1"/>
  <c r="N18" i="6"/>
  <c r="O18" i="6" s="1"/>
  <c r="J18" i="6"/>
  <c r="L18" i="6" s="1"/>
  <c r="H18" i="6"/>
  <c r="F18" i="6"/>
  <c r="C18" i="6"/>
  <c r="E18" i="6" s="1"/>
  <c r="U17" i="6"/>
  <c r="R17" i="6"/>
  <c r="T17" i="6" s="1"/>
  <c r="N17" i="6"/>
  <c r="O17" i="6" s="1"/>
  <c r="J17" i="6"/>
  <c r="L17" i="6" s="1"/>
  <c r="H17" i="6"/>
  <c r="F17" i="6"/>
  <c r="C17" i="6"/>
  <c r="E17" i="6" s="1"/>
  <c r="U16" i="6"/>
  <c r="R16" i="6"/>
  <c r="T16" i="6" s="1"/>
  <c r="N16" i="6"/>
  <c r="O16" i="6" s="1"/>
  <c r="J16" i="6"/>
  <c r="L16" i="6" s="1"/>
  <c r="H16" i="6"/>
  <c r="F16" i="6"/>
  <c r="C16" i="6"/>
  <c r="E16" i="6" s="1"/>
  <c r="U15" i="6"/>
  <c r="R15" i="6"/>
  <c r="T15" i="6" s="1"/>
  <c r="N15" i="6"/>
  <c r="O15" i="6" s="1"/>
  <c r="J15" i="6"/>
  <c r="L15" i="6" s="1"/>
  <c r="H15" i="6"/>
  <c r="F15" i="6"/>
  <c r="C15" i="6"/>
  <c r="E15" i="6" s="1"/>
  <c r="U14" i="6"/>
  <c r="R14" i="6"/>
  <c r="T14" i="6" s="1"/>
  <c r="N14" i="6"/>
  <c r="O14" i="6" s="1"/>
  <c r="J14" i="6"/>
  <c r="L14" i="6" s="1"/>
  <c r="H14" i="6"/>
  <c r="F14" i="6"/>
  <c r="C14" i="6"/>
  <c r="E14" i="6" s="1"/>
  <c r="U13" i="6"/>
  <c r="R13" i="6"/>
  <c r="T13" i="6" s="1"/>
  <c r="N13" i="6"/>
  <c r="O13" i="6" s="1"/>
  <c r="J13" i="6"/>
  <c r="L13" i="6" s="1"/>
  <c r="H13" i="6"/>
  <c r="F13" i="6"/>
  <c r="C13" i="6"/>
  <c r="E13" i="6" s="1"/>
  <c r="U12" i="6"/>
  <c r="R12" i="6"/>
  <c r="T12" i="6" s="1"/>
  <c r="N12" i="6"/>
  <c r="O12" i="6" s="1"/>
  <c r="J12" i="6"/>
  <c r="L12" i="6" s="1"/>
  <c r="H12" i="6"/>
  <c r="F12" i="6"/>
  <c r="C12" i="6"/>
  <c r="E12" i="6" s="1"/>
  <c r="U11" i="6"/>
  <c r="R11" i="6"/>
  <c r="T11" i="6" s="1"/>
  <c r="N11" i="6"/>
  <c r="O11" i="6" s="1"/>
  <c r="J11" i="6"/>
  <c r="L11" i="6" s="1"/>
  <c r="H11" i="6"/>
  <c r="F11" i="6"/>
  <c r="C11" i="6"/>
  <c r="E11" i="6" s="1"/>
  <c r="U10" i="6"/>
  <c r="R10" i="6"/>
  <c r="T10" i="6" s="1"/>
  <c r="N10" i="6"/>
  <c r="O10" i="6" s="1"/>
  <c r="J10" i="6"/>
  <c r="L10" i="6" s="1"/>
  <c r="H10" i="6"/>
  <c r="F10" i="6"/>
  <c r="C10" i="6"/>
  <c r="E10" i="6" s="1"/>
  <c r="U9" i="6"/>
  <c r="R9" i="6"/>
  <c r="T9" i="6" s="1"/>
  <c r="N9" i="6"/>
  <c r="O9" i="6" s="1"/>
  <c r="J9" i="6"/>
  <c r="L9" i="6" s="1"/>
  <c r="H9" i="6"/>
  <c r="F9" i="6"/>
  <c r="C9" i="6"/>
  <c r="E9" i="6" s="1"/>
  <c r="U8" i="6"/>
  <c r="R8" i="6"/>
  <c r="T8" i="6" s="1"/>
  <c r="N8" i="6"/>
  <c r="O8" i="6" s="1"/>
  <c r="J8" i="6"/>
  <c r="L8" i="6" s="1"/>
  <c r="H8" i="6"/>
  <c r="F8" i="6"/>
  <c r="C8" i="6"/>
  <c r="E8" i="6" s="1"/>
  <c r="U7" i="6"/>
  <c r="R7" i="6"/>
  <c r="T7" i="6" s="1"/>
  <c r="N7" i="6"/>
  <c r="O7" i="6" s="1"/>
  <c r="J7" i="6"/>
  <c r="L7" i="6" s="1"/>
  <c r="H7" i="6"/>
  <c r="F7" i="6"/>
  <c r="C7" i="6"/>
  <c r="E7" i="6" s="1"/>
  <c r="U6" i="6"/>
  <c r="R6" i="6"/>
  <c r="T6" i="6" s="1"/>
  <c r="N6" i="6"/>
  <c r="O6" i="6" s="1"/>
  <c r="J6" i="6"/>
  <c r="L6" i="6" s="1"/>
  <c r="H6" i="6"/>
  <c r="F6" i="6"/>
  <c r="C6" i="6"/>
  <c r="E6" i="6" s="1"/>
  <c r="U5" i="6"/>
  <c r="R5" i="6"/>
  <c r="T5" i="6" s="1"/>
  <c r="N5" i="6"/>
  <c r="O5" i="6" s="1"/>
  <c r="J5" i="6"/>
  <c r="L5" i="6" s="1"/>
  <c r="H5" i="6"/>
  <c r="F5" i="6"/>
  <c r="C5" i="6"/>
  <c r="E5" i="6" s="1"/>
  <c r="U4" i="6"/>
  <c r="R4" i="6"/>
  <c r="T4" i="6" s="1"/>
  <c r="N4" i="6"/>
  <c r="O4" i="6" s="1"/>
  <c r="J4" i="6"/>
  <c r="L4" i="6" s="1"/>
  <c r="H4" i="6"/>
  <c r="F4" i="6"/>
  <c r="C4" i="6"/>
  <c r="E4" i="6" s="1"/>
  <c r="U3" i="6"/>
  <c r="R3" i="6"/>
  <c r="T3" i="6" s="1"/>
  <c r="N3" i="6"/>
  <c r="O3" i="6" s="1"/>
  <c r="J3" i="6"/>
  <c r="L3" i="6" s="1"/>
  <c r="H3" i="6"/>
  <c r="F3" i="6"/>
  <c r="C3" i="6"/>
  <c r="E3" i="6" s="1"/>
  <c r="AI32" i="4"/>
  <c r="AG32" i="4"/>
  <c r="AF32" i="4"/>
  <c r="AI31" i="4"/>
  <c r="AG31" i="4"/>
  <c r="AF31" i="4"/>
  <c r="AI30" i="4"/>
  <c r="AG30" i="4"/>
  <c r="AF30" i="4"/>
  <c r="AI29" i="4"/>
  <c r="AG29" i="4"/>
  <c r="AF29" i="4"/>
  <c r="AI28" i="4"/>
  <c r="AG28" i="4"/>
  <c r="AF28" i="4"/>
  <c r="AI27" i="4"/>
  <c r="AG27" i="4"/>
  <c r="AF27" i="4"/>
  <c r="AI26" i="4"/>
  <c r="AG26" i="4"/>
  <c r="AF26" i="4"/>
  <c r="AI25" i="4"/>
  <c r="AG25" i="4"/>
  <c r="AF25" i="4"/>
  <c r="AI24" i="4"/>
  <c r="AG24" i="4"/>
  <c r="AF24" i="4"/>
  <c r="AI23" i="4"/>
  <c r="AG23" i="4"/>
  <c r="AF23" i="4"/>
  <c r="AI22" i="4"/>
  <c r="AG22" i="4"/>
  <c r="AF22" i="4"/>
  <c r="AI21" i="4"/>
  <c r="AG21" i="4"/>
  <c r="AF21" i="4"/>
  <c r="AI20" i="4"/>
  <c r="AG20" i="4"/>
  <c r="AF20" i="4"/>
  <c r="AI19" i="4"/>
  <c r="AG19" i="4"/>
  <c r="AF19" i="4"/>
  <c r="AI18" i="4"/>
  <c r="AG18" i="4"/>
  <c r="AF18" i="4"/>
  <c r="AI17" i="4"/>
  <c r="AG17" i="4"/>
  <c r="AF17" i="4"/>
  <c r="AI16" i="4"/>
  <c r="AG16" i="4"/>
  <c r="AF16" i="4"/>
  <c r="AI15" i="4"/>
  <c r="AG15" i="4"/>
  <c r="AF15" i="4"/>
  <c r="AI14" i="4"/>
  <c r="AG14" i="4"/>
  <c r="AF14" i="4"/>
  <c r="AI13" i="4"/>
  <c r="AG13" i="4"/>
  <c r="AF13" i="4"/>
  <c r="AI12" i="4"/>
  <c r="AG12" i="4"/>
  <c r="AF12" i="4"/>
  <c r="AI11" i="4"/>
  <c r="AG11" i="4"/>
  <c r="AF11" i="4"/>
  <c r="AI10" i="4"/>
  <c r="AG10" i="4"/>
  <c r="AF10" i="4"/>
  <c r="AI9" i="4"/>
  <c r="AG9" i="4"/>
  <c r="AF9" i="4"/>
  <c r="AI8" i="4"/>
  <c r="AG8" i="4"/>
  <c r="AF8" i="4"/>
  <c r="AI7" i="4"/>
  <c r="AG7" i="4"/>
  <c r="AF7" i="4"/>
  <c r="AI6" i="4"/>
  <c r="AG6" i="4"/>
  <c r="AF6" i="4"/>
  <c r="AI5" i="4"/>
  <c r="AG5" i="4"/>
  <c r="AF5" i="4"/>
  <c r="AI4" i="4"/>
  <c r="AG4" i="4"/>
  <c r="AF4" i="4"/>
  <c r="AI3" i="4"/>
  <c r="AG3" i="4"/>
  <c r="AF3" i="4"/>
  <c r="AB13" i="4"/>
  <c r="AC13" i="4" s="1"/>
  <c r="AC12" i="4"/>
  <c r="AB12" i="4"/>
  <c r="AB11" i="4"/>
  <c r="AC11" i="4" s="1"/>
  <c r="AB10" i="4"/>
  <c r="AC10" i="4" s="1"/>
  <c r="AC9" i="4"/>
  <c r="AB9" i="4"/>
  <c r="AB8" i="4"/>
  <c r="AC8" i="4" s="1"/>
  <c r="AB7" i="4"/>
  <c r="AC7" i="4" s="1"/>
  <c r="AC6" i="4"/>
  <c r="AB6" i="4"/>
  <c r="AB5" i="4"/>
  <c r="AC5" i="4" s="1"/>
  <c r="AB4" i="4"/>
  <c r="AC4" i="4" s="1"/>
  <c r="AC3" i="4"/>
  <c r="AB3" i="4"/>
  <c r="Z8" i="4"/>
  <c r="Y8" i="4"/>
  <c r="X8" i="4"/>
  <c r="Z7" i="4"/>
  <c r="X7" i="4"/>
  <c r="Y7" i="4" s="1"/>
  <c r="Z6" i="4"/>
  <c r="Y6" i="4"/>
  <c r="X6" i="4"/>
  <c r="Z5" i="4"/>
  <c r="X5" i="4"/>
  <c r="Y5" i="4" s="1"/>
  <c r="Z4" i="4"/>
  <c r="Y4" i="4"/>
  <c r="X4" i="4"/>
  <c r="Z3" i="4"/>
  <c r="X3" i="4"/>
  <c r="Y3" i="4" s="1"/>
  <c r="K26" i="4"/>
  <c r="L26" i="4" s="1"/>
  <c r="I26" i="4"/>
  <c r="J26" i="4" s="1"/>
  <c r="G26" i="4"/>
  <c r="K25" i="4"/>
  <c r="L25" i="4" s="1"/>
  <c r="J25" i="4"/>
  <c r="I25" i="4"/>
  <c r="G25" i="4"/>
  <c r="K24" i="4"/>
  <c r="L24" i="4" s="1"/>
  <c r="J24" i="4"/>
  <c r="I24" i="4"/>
  <c r="G24" i="4"/>
  <c r="E24" i="4"/>
  <c r="C24" i="4"/>
  <c r="D24" i="4" s="1"/>
  <c r="L23" i="4"/>
  <c r="K23" i="4"/>
  <c r="I23" i="4"/>
  <c r="J23" i="4" s="1"/>
  <c r="G23" i="4"/>
  <c r="E23" i="4"/>
  <c r="D23" i="4"/>
  <c r="C23" i="4"/>
  <c r="K22" i="4"/>
  <c r="L22" i="4" s="1"/>
  <c r="I22" i="4"/>
  <c r="J22" i="4" s="1"/>
  <c r="G22" i="4"/>
  <c r="E22" i="4"/>
  <c r="C22" i="4"/>
  <c r="D22" i="4" s="1"/>
  <c r="K21" i="4"/>
  <c r="L21" i="4" s="1"/>
  <c r="J21" i="4"/>
  <c r="I21" i="4"/>
  <c r="G21" i="4"/>
  <c r="E21" i="4"/>
  <c r="C21" i="4"/>
  <c r="D21" i="4" s="1"/>
  <c r="O20" i="4"/>
  <c r="M20" i="4" s="1"/>
  <c r="K20" i="4"/>
  <c r="L20" i="4" s="1"/>
  <c r="I20" i="4"/>
  <c r="J20" i="4" s="1"/>
  <c r="G20" i="4"/>
  <c r="E20" i="4"/>
  <c r="C20" i="4"/>
  <c r="D20" i="4" s="1"/>
  <c r="Q19" i="4"/>
  <c r="O19" i="4"/>
  <c r="P19" i="4" s="1"/>
  <c r="L19" i="4"/>
  <c r="K19" i="4"/>
  <c r="J19" i="4"/>
  <c r="I19" i="4"/>
  <c r="G19" i="4"/>
  <c r="E19" i="4"/>
  <c r="C19" i="4"/>
  <c r="D19" i="4" s="1"/>
  <c r="Q18" i="4"/>
  <c r="P18" i="4"/>
  <c r="O18" i="4"/>
  <c r="L18" i="4"/>
  <c r="K18" i="4"/>
  <c r="I18" i="4"/>
  <c r="J18" i="4" s="1"/>
  <c r="G18" i="4"/>
  <c r="E18" i="4"/>
  <c r="D18" i="4"/>
  <c r="C18" i="4"/>
  <c r="Q17" i="4"/>
  <c r="P17" i="4"/>
  <c r="O17" i="4"/>
  <c r="K17" i="4"/>
  <c r="L17" i="4" s="1"/>
  <c r="J17" i="4"/>
  <c r="I17" i="4"/>
  <c r="G17" i="4"/>
  <c r="E17" i="4"/>
  <c r="D17" i="4"/>
  <c r="C17" i="4"/>
  <c r="Q16" i="4"/>
  <c r="O16" i="4"/>
  <c r="P16" i="4" s="1"/>
  <c r="L16" i="4"/>
  <c r="K16" i="4"/>
  <c r="J16" i="4"/>
  <c r="I16" i="4"/>
  <c r="G16" i="4"/>
  <c r="E16" i="4"/>
  <c r="C16" i="4"/>
  <c r="D16" i="4" s="1"/>
  <c r="Q15" i="4"/>
  <c r="P15" i="4"/>
  <c r="O15" i="4"/>
  <c r="L15" i="4"/>
  <c r="K15" i="4"/>
  <c r="I15" i="4"/>
  <c r="J15" i="4" s="1"/>
  <c r="G15" i="4"/>
  <c r="E15" i="4"/>
  <c r="D15" i="4"/>
  <c r="C15" i="4"/>
  <c r="Q14" i="4"/>
  <c r="O14" i="4"/>
  <c r="P14" i="4" s="1"/>
  <c r="K14" i="4"/>
  <c r="L14" i="4" s="1"/>
  <c r="J14" i="4"/>
  <c r="I14" i="4"/>
  <c r="G14" i="4"/>
  <c r="E14" i="4"/>
  <c r="C14" i="4"/>
  <c r="D14" i="4" s="1"/>
  <c r="Q13" i="4"/>
  <c r="P13" i="4"/>
  <c r="O13" i="4"/>
  <c r="L13" i="4"/>
  <c r="K13" i="4"/>
  <c r="J13" i="4"/>
  <c r="I13" i="4"/>
  <c r="G13" i="4"/>
  <c r="E13" i="4"/>
  <c r="D13" i="4"/>
  <c r="C13" i="4"/>
  <c r="Q12" i="4"/>
  <c r="O12" i="4"/>
  <c r="P12" i="4" s="1"/>
  <c r="K12" i="4"/>
  <c r="L12" i="4" s="1"/>
  <c r="I12" i="4"/>
  <c r="J12" i="4" s="1"/>
  <c r="G12" i="4"/>
  <c r="E12" i="4"/>
  <c r="D12" i="4"/>
  <c r="C12" i="4"/>
  <c r="Q11" i="4"/>
  <c r="P11" i="4"/>
  <c r="O11" i="4"/>
  <c r="K11" i="4"/>
  <c r="L11" i="4" s="1"/>
  <c r="J11" i="4"/>
  <c r="I11" i="4"/>
  <c r="G11" i="4"/>
  <c r="E11" i="4"/>
  <c r="C11" i="4"/>
  <c r="D11" i="4" s="1"/>
  <c r="Q10" i="4"/>
  <c r="O10" i="4"/>
  <c r="P10" i="4" s="1"/>
  <c r="K10" i="4"/>
  <c r="L10" i="4" s="1"/>
  <c r="J10" i="4"/>
  <c r="I10" i="4"/>
  <c r="G10" i="4"/>
  <c r="E10" i="4"/>
  <c r="D10" i="4"/>
  <c r="C10" i="4"/>
  <c r="U9" i="4"/>
  <c r="S9" i="4"/>
  <c r="T9" i="4" s="1"/>
  <c r="Q9" i="4"/>
  <c r="O9" i="4"/>
  <c r="P9" i="4" s="1"/>
  <c r="L9" i="4"/>
  <c r="K9" i="4"/>
  <c r="I9" i="4"/>
  <c r="J9" i="4" s="1"/>
  <c r="G9" i="4"/>
  <c r="E9" i="4"/>
  <c r="D9" i="4"/>
  <c r="C9" i="4"/>
  <c r="U8" i="4"/>
  <c r="T8" i="4"/>
  <c r="S8" i="4"/>
  <c r="Q8" i="4"/>
  <c r="P8" i="4"/>
  <c r="O8" i="4"/>
  <c r="K8" i="4"/>
  <c r="L8" i="4" s="1"/>
  <c r="J8" i="4"/>
  <c r="I8" i="4"/>
  <c r="G8" i="4"/>
  <c r="E8" i="4"/>
  <c r="D8" i="4"/>
  <c r="C8" i="4"/>
  <c r="U7" i="4"/>
  <c r="S7" i="4"/>
  <c r="T7" i="4" s="1"/>
  <c r="Q7" i="4"/>
  <c r="O7" i="4"/>
  <c r="P7" i="4" s="1"/>
  <c r="L7" i="4"/>
  <c r="K7" i="4"/>
  <c r="J7" i="4"/>
  <c r="I7" i="4"/>
  <c r="G7" i="4"/>
  <c r="E7" i="4"/>
  <c r="C7" i="4"/>
  <c r="D7" i="4" s="1"/>
  <c r="U6" i="4"/>
  <c r="T6" i="4"/>
  <c r="S6" i="4"/>
  <c r="Q6" i="4"/>
  <c r="P6" i="4"/>
  <c r="O6" i="4"/>
  <c r="L6" i="4"/>
  <c r="K6" i="4"/>
  <c r="J6" i="4"/>
  <c r="I6" i="4"/>
  <c r="G6" i="4"/>
  <c r="E6" i="4"/>
  <c r="D6" i="4"/>
  <c r="C6" i="4"/>
  <c r="U5" i="4"/>
  <c r="T5" i="4"/>
  <c r="S5" i="4"/>
  <c r="Q5" i="4"/>
  <c r="P5" i="4"/>
  <c r="O5" i="4"/>
  <c r="L5" i="4"/>
  <c r="K5" i="4"/>
  <c r="I5" i="4"/>
  <c r="J5" i="4" s="1"/>
  <c r="G5" i="4"/>
  <c r="E5" i="4"/>
  <c r="C5" i="4"/>
  <c r="D5" i="4" s="1"/>
  <c r="U4" i="4"/>
  <c r="S4" i="4"/>
  <c r="T4" i="4" s="1"/>
  <c r="Q4" i="4"/>
  <c r="P4" i="4"/>
  <c r="O4" i="4"/>
  <c r="K4" i="4"/>
  <c r="L4" i="4" s="1"/>
  <c r="J4" i="4"/>
  <c r="I4" i="4"/>
  <c r="G4" i="4"/>
  <c r="E4" i="4"/>
  <c r="D4" i="4"/>
  <c r="C4" i="4"/>
  <c r="U3" i="4"/>
  <c r="S3" i="4"/>
  <c r="T3" i="4" s="1"/>
  <c r="Q3" i="4"/>
  <c r="O3" i="4"/>
  <c r="P3" i="4" s="1"/>
  <c r="L3" i="4"/>
  <c r="K3" i="4"/>
  <c r="I3" i="4"/>
  <c r="J3" i="4" s="1"/>
  <c r="G3" i="4"/>
  <c r="E3" i="4"/>
  <c r="D3" i="4"/>
  <c r="C3" i="4"/>
  <c r="M20" i="2"/>
  <c r="O20" i="2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" i="3"/>
  <c r="Y4" i="3"/>
  <c r="Z4" i="3"/>
  <c r="Y5" i="3"/>
  <c r="Z5" i="3"/>
  <c r="Y6" i="3"/>
  <c r="Z6" i="3"/>
  <c r="Y7" i="3"/>
  <c r="Z7" i="3"/>
  <c r="Y8" i="3"/>
  <c r="Z8" i="3"/>
  <c r="Y9" i="3"/>
  <c r="Z9" i="3"/>
  <c r="Y10" i="3"/>
  <c r="Z10" i="3"/>
  <c r="Y11" i="3"/>
  <c r="Z11" i="3"/>
  <c r="Y12" i="3"/>
  <c r="Z12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Z3" i="3"/>
  <c r="Y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3" i="3"/>
  <c r="T4" i="3"/>
  <c r="U4" i="3"/>
  <c r="T5" i="3"/>
  <c r="U5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T18" i="3"/>
  <c r="U18" i="3"/>
  <c r="T19" i="3"/>
  <c r="U19" i="3"/>
  <c r="T20" i="3"/>
  <c r="U20" i="3"/>
  <c r="T21" i="3"/>
  <c r="U21" i="3"/>
  <c r="T22" i="3"/>
  <c r="U22" i="3"/>
  <c r="T23" i="3"/>
  <c r="U23" i="3"/>
  <c r="T24" i="3"/>
  <c r="U24" i="3"/>
  <c r="U3" i="3"/>
  <c r="T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3" i="3"/>
  <c r="O4" i="3"/>
  <c r="P4" i="3"/>
  <c r="O5" i="3"/>
  <c r="P5" i="3"/>
  <c r="O6" i="3"/>
  <c r="P6" i="3"/>
  <c r="O7" i="3"/>
  <c r="P7" i="3"/>
  <c r="O8" i="3"/>
  <c r="P8" i="3"/>
  <c r="O9" i="3"/>
  <c r="P9" i="3"/>
  <c r="O10" i="3"/>
  <c r="P10" i="3"/>
  <c r="O11" i="3"/>
  <c r="P11" i="3"/>
  <c r="O12" i="3"/>
  <c r="P12" i="3"/>
  <c r="O13" i="3"/>
  <c r="P13" i="3"/>
  <c r="O14" i="3"/>
  <c r="P14" i="3"/>
  <c r="O15" i="3"/>
  <c r="P15" i="3"/>
  <c r="O16" i="3"/>
  <c r="P16" i="3"/>
  <c r="O17" i="3"/>
  <c r="P17" i="3"/>
  <c r="O18" i="3"/>
  <c r="P18" i="3"/>
  <c r="O19" i="3"/>
  <c r="P19" i="3"/>
  <c r="O20" i="3"/>
  <c r="P20" i="3"/>
  <c r="O21" i="3"/>
  <c r="P21" i="3"/>
  <c r="O22" i="3"/>
  <c r="P22" i="3"/>
  <c r="P3" i="3"/>
  <c r="O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L3" i="3"/>
  <c r="K3" i="3"/>
  <c r="G4" i="3"/>
  <c r="H4" i="3" s="1"/>
  <c r="G5" i="3"/>
  <c r="H5" i="3"/>
  <c r="G6" i="3"/>
  <c r="H6" i="3"/>
  <c r="G7" i="3"/>
  <c r="H7" i="3"/>
  <c r="G8" i="3"/>
  <c r="H8" i="3"/>
  <c r="G9" i="3"/>
  <c r="H9" i="3"/>
  <c r="G10" i="3"/>
  <c r="H10" i="3" s="1"/>
  <c r="G11" i="3"/>
  <c r="H11" i="3"/>
  <c r="G12" i="3"/>
  <c r="H12" i="3"/>
  <c r="G13" i="3"/>
  <c r="H13" i="3"/>
  <c r="G14" i="3"/>
  <c r="H14" i="3"/>
  <c r="G15" i="3"/>
  <c r="H15" i="3"/>
  <c r="G16" i="3"/>
  <c r="H16" i="3" s="1"/>
  <c r="G17" i="3"/>
  <c r="H17" i="3"/>
  <c r="G18" i="3"/>
  <c r="H18" i="3" s="1"/>
  <c r="G19" i="3"/>
  <c r="H19" i="3"/>
  <c r="G20" i="3"/>
  <c r="H20" i="3"/>
  <c r="G21" i="3"/>
  <c r="H21" i="3"/>
  <c r="G22" i="3"/>
  <c r="H22" i="3" s="1"/>
  <c r="G23" i="3"/>
  <c r="H23" i="3"/>
  <c r="G24" i="3"/>
  <c r="H24" i="3"/>
  <c r="G25" i="3"/>
  <c r="H25" i="3"/>
  <c r="G26" i="3"/>
  <c r="H26" i="3"/>
  <c r="G27" i="3"/>
  <c r="H27" i="3"/>
  <c r="G28" i="3"/>
  <c r="H28" i="3" s="1"/>
  <c r="H3" i="3"/>
  <c r="G3" i="3"/>
  <c r="C4" i="3"/>
  <c r="D4" i="3"/>
  <c r="E4" i="3"/>
  <c r="C5" i="3"/>
  <c r="D5" i="3"/>
  <c r="E5" i="3"/>
  <c r="C6" i="3"/>
  <c r="D6" i="3"/>
  <c r="E6" i="3"/>
  <c r="C7" i="3"/>
  <c r="D7" i="3"/>
  <c r="E7" i="3"/>
  <c r="C8" i="3"/>
  <c r="D8" i="3"/>
  <c r="E8" i="3"/>
  <c r="E3" i="3"/>
  <c r="D3" i="3"/>
  <c r="C3" i="3"/>
  <c r="S4" i="2"/>
  <c r="T4" i="2"/>
  <c r="S5" i="2"/>
  <c r="T5" i="2"/>
  <c r="S6" i="2"/>
  <c r="T6" i="2"/>
  <c r="S7" i="2"/>
  <c r="T7" i="2"/>
  <c r="S8" i="2"/>
  <c r="T8" i="2"/>
  <c r="S9" i="2"/>
  <c r="T9" i="2"/>
  <c r="T3" i="2"/>
  <c r="S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3" i="2"/>
  <c r="U9" i="2"/>
  <c r="U8" i="2"/>
  <c r="U7" i="2"/>
  <c r="U6" i="2"/>
  <c r="U5" i="2"/>
  <c r="U4" i="2"/>
  <c r="U3" i="2"/>
  <c r="O4" i="2"/>
  <c r="P4" i="2"/>
  <c r="Q4" i="2"/>
  <c r="O5" i="2"/>
  <c r="P5" i="2" s="1"/>
  <c r="Q5" i="2"/>
  <c r="O6" i="2"/>
  <c r="P6" i="2" s="1"/>
  <c r="Q6" i="2"/>
  <c r="O7" i="2"/>
  <c r="P7" i="2"/>
  <c r="Q7" i="2"/>
  <c r="O8" i="2"/>
  <c r="P8" i="2" s="1"/>
  <c r="Q8" i="2"/>
  <c r="O9" i="2"/>
  <c r="P9" i="2" s="1"/>
  <c r="Q9" i="2"/>
  <c r="O10" i="2"/>
  <c r="P10" i="2" s="1"/>
  <c r="Q10" i="2"/>
  <c r="O11" i="2"/>
  <c r="P11" i="2" s="1"/>
  <c r="Q11" i="2"/>
  <c r="O12" i="2"/>
  <c r="P12" i="2" s="1"/>
  <c r="Q12" i="2"/>
  <c r="O13" i="2"/>
  <c r="P13" i="2"/>
  <c r="Q13" i="2"/>
  <c r="O14" i="2"/>
  <c r="P14" i="2" s="1"/>
  <c r="Q14" i="2"/>
  <c r="O15" i="2"/>
  <c r="P15" i="2" s="1"/>
  <c r="Q15" i="2"/>
  <c r="O16" i="2"/>
  <c r="P16" i="2" s="1"/>
  <c r="Q16" i="2"/>
  <c r="O17" i="2"/>
  <c r="P17" i="2" s="1"/>
  <c r="Q17" i="2"/>
  <c r="O18" i="2"/>
  <c r="P18" i="2" s="1"/>
  <c r="Q18" i="2"/>
  <c r="O19" i="2"/>
  <c r="P19" i="2" s="1"/>
  <c r="Q19" i="2"/>
  <c r="Q3" i="2"/>
  <c r="O3" i="2"/>
  <c r="P3" i="2" s="1"/>
  <c r="K4" i="2"/>
  <c r="L4" i="2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0" i="2"/>
  <c r="L20" i="2" s="1"/>
  <c r="K21" i="2"/>
  <c r="L21" i="2" s="1"/>
  <c r="K22" i="2"/>
  <c r="L22" i="2" s="1"/>
  <c r="K23" i="2"/>
  <c r="L23" i="2" s="1"/>
  <c r="K24" i="2"/>
  <c r="L24" i="2" s="1"/>
  <c r="K25" i="2"/>
  <c r="L25" i="2" s="1"/>
  <c r="K26" i="2"/>
  <c r="L26" i="2" s="1"/>
  <c r="K3" i="2"/>
  <c r="L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/>
  <c r="I3" i="2"/>
  <c r="J3" i="2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3" i="2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3" i="2"/>
  <c r="D3" i="2" s="1"/>
  <c r="D10" i="2"/>
  <c r="J63" i="6" l="1"/>
  <c r="K25" i="6"/>
  <c r="J75" i="6"/>
  <c r="J66" i="6"/>
  <c r="S15" i="6"/>
  <c r="J62" i="6"/>
  <c r="S6" i="6"/>
  <c r="S5" i="6"/>
  <c r="S20" i="6"/>
  <c r="D54" i="6"/>
  <c r="K24" i="6"/>
  <c r="J78" i="6"/>
  <c r="D3" i="6"/>
  <c r="J77" i="6"/>
  <c r="K3" i="6"/>
  <c r="S16" i="6"/>
  <c r="S4" i="6"/>
  <c r="J76" i="6"/>
  <c r="J64" i="6"/>
  <c r="K22" i="6"/>
  <c r="S13" i="6"/>
  <c r="D59" i="6"/>
  <c r="J73" i="6"/>
  <c r="J61" i="6"/>
  <c r="K15" i="6"/>
  <c r="S12" i="6"/>
  <c r="D58" i="6"/>
  <c r="J72" i="6"/>
  <c r="J60" i="6"/>
  <c r="K14" i="6"/>
  <c r="S11" i="6"/>
  <c r="D57" i="6"/>
  <c r="J71" i="6"/>
  <c r="J59" i="6"/>
  <c r="S14" i="6"/>
  <c r="K13" i="6"/>
  <c r="S10" i="6"/>
  <c r="D56" i="6"/>
  <c r="J70" i="6"/>
  <c r="J58" i="6"/>
  <c r="K11" i="6"/>
  <c r="S9" i="6"/>
  <c r="D55" i="6"/>
  <c r="J69" i="6"/>
  <c r="J57" i="6"/>
  <c r="S3" i="6"/>
  <c r="S8" i="6"/>
  <c r="J54" i="6"/>
  <c r="J68" i="6"/>
  <c r="J56" i="6"/>
  <c r="S19" i="6"/>
  <c r="S7" i="6"/>
  <c r="J79" i="6"/>
  <c r="J67" i="6"/>
  <c r="J55" i="6"/>
  <c r="K10" i="6"/>
  <c r="K26" i="6"/>
  <c r="K23" i="6"/>
  <c r="K9" i="6"/>
  <c r="D15" i="6"/>
  <c r="K20" i="6"/>
  <c r="K8" i="6"/>
  <c r="K12" i="6"/>
  <c r="D21" i="6"/>
  <c r="K21" i="6"/>
  <c r="D14" i="6"/>
  <c r="K19" i="6"/>
  <c r="K7" i="6"/>
  <c r="D12" i="6"/>
  <c r="K18" i="6"/>
  <c r="K6" i="6"/>
  <c r="D11" i="6"/>
  <c r="K17" i="6"/>
  <c r="K5" i="6"/>
  <c r="D9" i="6"/>
  <c r="K16" i="6"/>
  <c r="K4" i="6"/>
  <c r="D24" i="6"/>
  <c r="D22" i="6"/>
  <c r="D10" i="6"/>
  <c r="D20" i="6"/>
  <c r="D8" i="6"/>
  <c r="D19" i="6"/>
  <c r="D7" i="6"/>
  <c r="D18" i="6"/>
  <c r="D6" i="6"/>
  <c r="D13" i="6"/>
  <c r="D17" i="6"/>
  <c r="D5" i="6"/>
  <c r="D16" i="6"/>
  <c r="D4" i="6"/>
</calcChain>
</file>

<file path=xl/sharedStrings.xml><?xml version="1.0" encoding="utf-8"?>
<sst xmlns="http://schemas.openxmlformats.org/spreadsheetml/2006/main" count="224" uniqueCount="70">
  <si>
    <t>Host:</t>
  </si>
  <si>
    <t>alpha-Fe</t>
  </si>
  <si>
    <t>Interstitial</t>
  </si>
  <si>
    <t>C</t>
  </si>
  <si>
    <t>N</t>
  </si>
  <si>
    <t>H</t>
  </si>
  <si>
    <t>O</t>
  </si>
  <si>
    <t>B</t>
  </si>
  <si>
    <t>[1]</t>
  </si>
  <si>
    <t>[2]</t>
  </si>
  <si>
    <t>[3]</t>
  </si>
  <si>
    <t>[4]</t>
  </si>
  <si>
    <t>[5]</t>
  </si>
  <si>
    <t>Substitutional</t>
  </si>
  <si>
    <t>Mn</t>
  </si>
  <si>
    <t>Cr</t>
  </si>
  <si>
    <t>Ni</t>
  </si>
  <si>
    <t>Co</t>
  </si>
  <si>
    <t>Cu</t>
  </si>
  <si>
    <t>Al</t>
  </si>
  <si>
    <t>Si</t>
  </si>
  <si>
    <t>S</t>
  </si>
  <si>
    <t>Nb</t>
  </si>
  <si>
    <t>Mo</t>
  </si>
  <si>
    <t>W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</si>
  <si>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</si>
  <si>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</si>
  <si>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</si>
  <si>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</si>
  <si>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</si>
  <si>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</si>
  <si>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</si>
  <si>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</si>
  <si>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</si>
  <si>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</si>
  <si>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</si>
  <si>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D*10^X [cm^2/s]</t>
  </si>
  <si>
    <t>T [K]</t>
  </si>
  <si>
    <t>1000/T [1/K]</t>
  </si>
  <si>
    <t>T [deg. C]</t>
  </si>
  <si>
    <t>D [cm^2/s]</t>
  </si>
  <si>
    <t>10000/T [1/K]</t>
  </si>
  <si>
    <t>ln(D) [m^2/s]</t>
  </si>
  <si>
    <t>D [m^2/s]</t>
  </si>
  <si>
    <t>D*10^-5 [cm^2/s]</t>
  </si>
  <si>
    <t>D*10^-13 [cm^2/s]</t>
  </si>
  <si>
    <t>Element</t>
  </si>
  <si>
    <t>Atomic Radius [A]</t>
  </si>
  <si>
    <t>D [cm2/s], alpha-Fe @ 800C</t>
  </si>
  <si>
    <t>D [cm2/s], gamma-Fe @ 1100C</t>
  </si>
  <si>
    <t>BCC Iron</t>
  </si>
  <si>
    <t>FCC Iron</t>
  </si>
  <si>
    <t>alpha-Fe @ 100 C</t>
  </si>
  <si>
    <t>alpha-Fe @ 35 C</t>
  </si>
  <si>
    <t>alpha-Fe @ 900 C</t>
  </si>
  <si>
    <t>alpha-Fe @ 700 C</t>
  </si>
  <si>
    <t>C (Tm = 3915 K)</t>
  </si>
  <si>
    <t>N (Tm = 63.05 K)</t>
  </si>
  <si>
    <t>H (Tm = 14.01 K)</t>
  </si>
  <si>
    <t>Mn (Tm = 1519 K)</t>
  </si>
  <si>
    <t>Ni (Tm = 1728 K)</t>
  </si>
  <si>
    <t>Nb (2750 K)</t>
  </si>
  <si>
    <t>Mo (Tm = 2896 K)</t>
  </si>
  <si>
    <t>Cr (Tm = 2180 K)</t>
  </si>
  <si>
    <t>Tm/T</t>
  </si>
  <si>
    <t>Tm/Tk</t>
  </si>
  <si>
    <t>Slopes (Q/RTm)</t>
  </si>
  <si>
    <t>Avg</t>
  </si>
  <si>
    <t>Min %</t>
  </si>
  <si>
    <t>Max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</si>
</sst>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1" applyAlignment="1">
      <alignment horizontal="center"/>
    </xf>
    <xf numFmtId="11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0" xfId="0" applyBorder="1"/>
    <xf numFmtId="11" fontId="0" fillId="0" borderId="0" xfId="0" applyNumberFormat="1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1" fillId="2" borderId="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0" xfId="0" applyFill="1" applyBorder="1"/>
    <xf numFmtId="11" fontId="0" fillId="2" borderId="6" xfId="0" applyNumberForma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1" fillId="0" borderId="5" xfId="0" applyFont="1" applyFill="1" applyBorder="1" applyAlignment="1">
      <alignment horizontal="center"/>
    </xf>
    <xf numFmtId="0" fontId="0" fillId="2" borderId="6" xfId="0" applyFill="1" applyBorder="1"/>
    <xf numFmtId="0" fontId="1" fillId="2" borderId="5" xfId="0" applyFont="1" applyFill="1" applyBorder="1" applyAlignment="1">
      <alignment horizontal="center"/>
    </xf>
    <xf numFmtId="0" fontId="0" fillId="2" borderId="5" xfId="0" applyFill="1" applyBorder="1"/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0" xfId="0" applyFill="1" applyBorder="1"/>
    <xf numFmtId="11" fontId="0" fillId="3" borderId="6" xfId="0" applyNumberFormat="1" applyFill="1" applyBorder="1"/>
    <xf numFmtId="0" fontId="1" fillId="4" borderId="8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0" fillId="4" borderId="0" xfId="0" applyFill="1" applyBorder="1"/>
    <xf numFmtId="0" fontId="1" fillId="4" borderId="6" xfId="0" applyFont="1" applyFill="1" applyBorder="1" applyAlignment="1">
      <alignment horizontal="center"/>
    </xf>
    <xf numFmtId="0" fontId="0" fillId="4" borderId="6" xfId="0" applyFill="1" applyBorder="1"/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1" fillId="3" borderId="5" xfId="0" applyFont="1" applyFill="1" applyBorder="1" applyAlignment="1">
      <alignment horizontal="center"/>
    </xf>
    <xf numFmtId="0" fontId="0" fillId="3" borderId="5" xfId="0" applyFill="1" applyBorder="1"/>
    <xf numFmtId="0" fontId="1" fillId="5" borderId="2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5" borderId="0" xfId="0" applyFill="1" applyBorder="1"/>
    <xf numFmtId="0" fontId="0" fillId="0" borderId="5" xfId="0" applyFill="1" applyBorder="1"/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6" borderId="0" xfId="0" applyFill="1" applyBorder="1"/>
    <xf numFmtId="0" fontId="1" fillId="6" borderId="6" xfId="0" applyFont="1" applyFill="1" applyBorder="1" applyAlignment="1">
      <alignment horizontal="center"/>
    </xf>
    <xf numFmtId="0" fontId="0" fillId="6" borderId="6" xfId="0" applyFill="1" applyBorder="1"/>
    <xf numFmtId="0" fontId="1" fillId="4" borderId="5" xfId="0" applyFont="1" applyFill="1" applyBorder="1" applyAlignment="1">
      <alignment horizontal="center"/>
    </xf>
    <xf numFmtId="0" fontId="0" fillId="4" borderId="5" xfId="0" applyFill="1" applyBorder="1"/>
    <xf numFmtId="11" fontId="0" fillId="4" borderId="6" xfId="0" applyNumberFormat="1" applyFill="1" applyBorder="1"/>
    <xf numFmtId="0" fontId="1" fillId="7" borderId="8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0" fillId="7" borderId="5" xfId="0" applyFill="1" applyBorder="1"/>
    <xf numFmtId="0" fontId="1" fillId="7" borderId="0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0" fillId="7" borderId="0" xfId="0" applyFill="1" applyBorder="1"/>
    <xf numFmtId="11" fontId="0" fillId="7" borderId="6" xfId="0" applyNumberFormat="1" applyFill="1" applyBorder="1"/>
    <xf numFmtId="0" fontId="1" fillId="8" borderId="8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0" fillId="8" borderId="0" xfId="0" applyFill="1" applyBorder="1"/>
    <xf numFmtId="0" fontId="1" fillId="8" borderId="6" xfId="0" applyFont="1" applyFill="1" applyBorder="1" applyAlignment="1">
      <alignment horizontal="center"/>
    </xf>
    <xf numFmtId="11" fontId="0" fillId="8" borderId="6" xfId="0" applyNumberFormat="1" applyFill="1" applyBorder="1"/>
    <xf numFmtId="11" fontId="0" fillId="5" borderId="6" xfId="0" applyNumberFormat="1" applyFill="1" applyBorder="1"/>
    <xf numFmtId="2" fontId="0" fillId="0" borderId="0" xfId="0" applyNumberFormat="1"/>
    <xf numFmtId="2" fontId="0" fillId="0" borderId="7" xfId="0" applyNumberFormat="1" applyBorder="1"/>
    <xf numFmtId="11" fontId="0" fillId="0" borderId="7" xfId="0" applyNumberFormat="1" applyBorder="1"/>
    <xf numFmtId="0" fontId="0" fillId="0" borderId="0" xfId="0" applyAlignment="1">
      <alignment horizontal="left" vertical="center"/>
    </xf>
    <xf numFmtId="11" fontId="0" fillId="0" borderId="0" xfId="0" applyNumberFormat="1" applyFill="1" applyBorder="1"/>
    <xf numFmtId="0" fontId="1" fillId="4" borderId="2" xfId="0" applyFont="1" applyFill="1" applyBorder="1" applyAlignment="1">
      <alignment horizontal="center"/>
    </xf>
    <xf numFmtId="0" fontId="0" fillId="4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Interstitials, </a:t>
            </a:r>
            <a:r>
              <a:rPr lang="el-GR" b="1" u="none">
                <a:solidFill>
                  <a:schemeClr val="tx1"/>
                </a:solidFill>
                <a:latin typeface="Aptos Narrow" panose="020B0004020202020204" pitchFamily="34" charset="0"/>
                <a:cs typeface="Times New Roman" panose="02020603050405020304" pitchFamily="18" charset="0"/>
              </a:rPr>
              <a:t>α</a:t>
            </a:r>
            <a:r>
              <a:rPr lang="en-US" b="1" u="none">
                <a:solidFill>
                  <a:schemeClr val="tx1"/>
                </a:solidFill>
                <a:latin typeface="Aptos Narrow" panose="020B0004020202020204" pitchFamily="34" charset="0"/>
                <a:cs typeface="Times New Roman" panose="02020603050405020304" pitchFamily="18" charset="0"/>
              </a:rPr>
              <a:t>-</a:t>
            </a:r>
            <a:r>
              <a:rPr lang="en-US" b="1" u="none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</a:t>
            </a:r>
            <a:endParaRPr lang="en-US" b="1" u="non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</c:v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forward val="0.5"/>
            <c:backward val="0.5"/>
            <c:dispRSqr val="0"/>
            <c:dispEq val="0"/>
          </c:trendline>
          <c:xVal>
            <c:numRef>
              <c:f>Interstitial!$A$3:$A$24</c:f>
              <c:numCache>
                <c:formatCode>General</c:formatCode>
                <c:ptCount val="22"/>
                <c:pt idx="0">
                  <c:v>4.20836025335909</c:v>
                </c:pt>
                <c:pt idx="1">
                  <c:v>4.0256984907377698</c:v>
                </c:pt>
                <c:pt idx="2">
                  <c:v>3.8843978245137598</c:v>
                </c:pt>
                <c:pt idx="3">
                  <c:v>3.7931079760368198</c:v>
                </c:pt>
                <c:pt idx="4">
                  <c:v>3.67677168585262</c:v>
                </c:pt>
                <c:pt idx="5">
                  <c:v>3.3690418460298801</c:v>
                </c:pt>
                <c:pt idx="6">
                  <c:v>3.31878483128044</c:v>
                </c:pt>
                <c:pt idx="7">
                  <c:v>3.2438917031610202</c:v>
                </c:pt>
                <c:pt idx="8">
                  <c:v>3.2023664754287902</c:v>
                </c:pt>
                <c:pt idx="9">
                  <c:v>3.16092331336402</c:v>
                </c:pt>
                <c:pt idx="10">
                  <c:v>3.1192339542968801</c:v>
                </c:pt>
                <c:pt idx="11">
                  <c:v>2.7202142659972099</c:v>
                </c:pt>
                <c:pt idx="12">
                  <c:v>2.50410253732122</c:v>
                </c:pt>
                <c:pt idx="13">
                  <c:v>2.3463230850722501</c:v>
                </c:pt>
                <c:pt idx="14">
                  <c:v>2.0886861286640399</c:v>
                </c:pt>
                <c:pt idx="15">
                  <c:v>1.2485470646602801</c:v>
                </c:pt>
                <c:pt idx="16">
                  <c:v>1.1240534471310499</c:v>
                </c:pt>
                <c:pt idx="17">
                  <c:v>1.03292772998903</c:v>
                </c:pt>
                <c:pt idx="18">
                  <c:v>1.00788128828176</c:v>
                </c:pt>
                <c:pt idx="19">
                  <c:v>0.97443132222711304</c:v>
                </c:pt>
                <c:pt idx="20">
                  <c:v>0.94130961884227804</c:v>
                </c:pt>
                <c:pt idx="21">
                  <c:v>0.91626317713501404</c:v>
                </c:pt>
              </c:numCache>
            </c:numRef>
          </c:xVal>
          <c:yVal>
            <c:numRef>
              <c:f>Interstitial!$E$3:$E$24</c:f>
              <c:numCache>
                <c:formatCode>0.00E+00</c:formatCode>
                <c:ptCount val="22"/>
                <c:pt idx="0">
                  <c:v>1.0774226385128251E-20</c:v>
                </c:pt>
                <c:pt idx="1">
                  <c:v>5.0859143469241822E-20</c:v>
                </c:pt>
                <c:pt idx="2">
                  <c:v>2.0017956263785208E-19</c:v>
                </c:pt>
                <c:pt idx="3">
                  <c:v>4.1542404774824245E-19</c:v>
                </c:pt>
                <c:pt idx="4">
                  <c:v>1.2430039372138287E-18</c:v>
                </c:pt>
                <c:pt idx="5">
                  <c:v>3.0431406000455089E-17</c:v>
                </c:pt>
                <c:pt idx="6">
                  <c:v>7.600081846794201E-17</c:v>
                </c:pt>
                <c:pt idx="7">
                  <c:v>1.7299268453457001E-16</c:v>
                </c:pt>
                <c:pt idx="8">
                  <c:v>2.4925179342218927E-16</c:v>
                </c:pt>
                <c:pt idx="9">
                  <c:v>3.2764963930248655E-16</c:v>
                </c:pt>
                <c:pt idx="10">
                  <c:v>5.6715080183481228E-16</c:v>
                </c:pt>
                <c:pt idx="11">
                  <c:v>2.8815088737744856E-14</c:v>
                </c:pt>
                <c:pt idx="12">
                  <c:v>2.3552714795324545E-13</c:v>
                </c:pt>
                <c:pt idx="13">
                  <c:v>9.2638869532475005E-13</c:v>
                </c:pt>
                <c:pt idx="14">
                  <c:v>1.0910001547296868E-11</c:v>
                </c:pt>
                <c:pt idx="15">
                  <c:v>7.7117376517698983E-8</c:v>
                </c:pt>
                <c:pt idx="16">
                  <c:v>2.1044797751873878E-7</c:v>
                </c:pt>
                <c:pt idx="17">
                  <c:v>3.6352840484293596E-7</c:v>
                </c:pt>
                <c:pt idx="18">
                  <c:v>5.2414002494555973E-7</c:v>
                </c:pt>
                <c:pt idx="19">
                  <c:v>9.0758099187580112E-7</c:v>
                </c:pt>
                <c:pt idx="20">
                  <c:v>1.0888469850620415E-6</c:v>
                </c:pt>
                <c:pt idx="21">
                  <c:v>1.5699138727794682E-6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E-491A-949F-A6C33EEDC19B}"/>
            </c:ext>
          </c:extLst>
        </c:ser>
        <c:ser>
          <c:idx val="1"/>
          <c:order val="1"/>
          <c:tx>
            <c:v>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exp"/>
            <c:forward val="0.5"/>
            <c:backward val="0.5"/>
            <c:dispRSqr val="0"/>
            <c:dispEq val="0"/>
          </c:trendline>
          <c:xVal>
            <c:numRef>
              <c:f>Interstitial!$G$4:$G$26</c:f>
              <c:numCache>
                <c:formatCode>General</c:formatCode>
                <c:ptCount val="23"/>
                <c:pt idx="0">
                  <c:v>0.89885662431941804</c:v>
                </c:pt>
                <c:pt idx="1">
                  <c:v>0.98411978221415508</c:v>
                </c:pt>
                <c:pt idx="2">
                  <c:v>1.1552268602540798</c:v>
                </c:pt>
                <c:pt idx="3">
                  <c:v>1.30076225045372</c:v>
                </c:pt>
                <c:pt idx="4">
                  <c:v>1.3949364791288501</c:v>
                </c:pt>
                <c:pt idx="5">
                  <c:v>1.4892558983666</c:v>
                </c:pt>
                <c:pt idx="6">
                  <c:v>1.6683303085299399</c:v>
                </c:pt>
                <c:pt idx="7">
                  <c:v>2.1294918330308503</c:v>
                </c:pt>
                <c:pt idx="8">
                  <c:v>2.3097277676950898</c:v>
                </c:pt>
                <c:pt idx="9">
                  <c:v>2.3695644283121498</c:v>
                </c:pt>
                <c:pt idx="10">
                  <c:v>2.71119782214156</c:v>
                </c:pt>
                <c:pt idx="11">
                  <c:v>2.81392014519056</c:v>
                </c:pt>
                <c:pt idx="12">
                  <c:v>3.0191470054446397</c:v>
                </c:pt>
                <c:pt idx="13">
                  <c:v>3.1135390199637003</c:v>
                </c:pt>
                <c:pt idx="14">
                  <c:v>3.1734482758620599</c:v>
                </c:pt>
                <c:pt idx="15">
                  <c:v>3.2502359346642402</c:v>
                </c:pt>
                <c:pt idx="16">
                  <c:v>3.3788929219600705</c:v>
                </c:pt>
                <c:pt idx="17">
                  <c:v>3.4296007259528105</c:v>
                </c:pt>
                <c:pt idx="18">
                  <c:v>3.54094373865698</c:v>
                </c:pt>
                <c:pt idx="19">
                  <c:v>3.86606170598911</c:v>
                </c:pt>
                <c:pt idx="20">
                  <c:v>4.0203629764065294</c:v>
                </c:pt>
                <c:pt idx="21">
                  <c:v>4.1913248638838398</c:v>
                </c:pt>
                <c:pt idx="22">
                  <c:v>4.3201270417422801</c:v>
                </c:pt>
              </c:numCache>
            </c:numRef>
          </c:xVal>
          <c:yVal>
            <c:numRef>
              <c:f>Interstitial!$L$4:$L$26</c:f>
              <c:numCache>
                <c:formatCode>General</c:formatCode>
                <c:ptCount val="23"/>
                <c:pt idx="0">
                  <c:v>2.0128168128736311E-6</c:v>
                </c:pt>
                <c:pt idx="1">
                  <c:v>6.7354417058409213E-7</c:v>
                </c:pt>
                <c:pt idx="2">
                  <c:v>1.4793368568567264E-7</c:v>
                </c:pt>
                <c:pt idx="3">
                  <c:v>4.5504750870320969E-8</c:v>
                </c:pt>
                <c:pt idx="4">
                  <c:v>2.132589364324455E-8</c:v>
                </c:pt>
                <c:pt idx="5">
                  <c:v>1.1827748210529163E-8</c:v>
                </c:pt>
                <c:pt idx="6">
                  <c:v>1.21745681322232E-9</c:v>
                </c:pt>
                <c:pt idx="7">
                  <c:v>7.7825792290597036E-12</c:v>
                </c:pt>
                <c:pt idx="8">
                  <c:v>3.0819792807779286E-12</c:v>
                </c:pt>
                <c:pt idx="9">
                  <c:v>1.7093246141484077E-12</c:v>
                </c:pt>
                <c:pt idx="10">
                  <c:v>4.2038692790253635E-14</c:v>
                </c:pt>
                <c:pt idx="11">
                  <c:v>1.8110378793522653E-14</c:v>
                </c:pt>
                <c:pt idx="12">
                  <c:v>2.6107644800398728E-15</c:v>
                </c:pt>
                <c:pt idx="13">
                  <c:v>1.5751963399307874E-15</c:v>
                </c:pt>
                <c:pt idx="14">
                  <c:v>9.5038963809298705E-16</c:v>
                </c:pt>
                <c:pt idx="15">
                  <c:v>3.76363810384592E-16</c:v>
                </c:pt>
                <c:pt idx="16">
                  <c:v>1.7638366187964328E-16</c:v>
                </c:pt>
                <c:pt idx="17">
                  <c:v>5.4256030695282292E-17</c:v>
                </c:pt>
                <c:pt idx="18">
                  <c:v>2.3373639913759704E-17</c:v>
                </c:pt>
                <c:pt idx="19">
                  <c:v>1.3343589553081312E-18</c:v>
                </c:pt>
                <c:pt idx="20">
                  <c:v>4.8574313551333974E-19</c:v>
                </c:pt>
                <c:pt idx="21">
                  <c:v>9.0149502415294671E-20</c:v>
                </c:pt>
                <c:pt idx="22">
                  <c:v>4.9998637042361658E-20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CE-491A-949F-A6C33EEDC19B}"/>
            </c:ext>
          </c:extLst>
        </c:ser>
        <c:ser>
          <c:idx val="2"/>
          <c:order val="2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exp"/>
            <c:forward val="1"/>
            <c:backward val="3"/>
            <c:dispRSqr val="0"/>
            <c:dispEq val="0"/>
          </c:trendline>
          <c:xVal>
            <c:numRef>
              <c:f>Interstitial!$M$3:$M$20</c:f>
              <c:numCache>
                <c:formatCode>General</c:formatCode>
                <c:ptCount val="18"/>
                <c:pt idx="0">
                  <c:v>2.68571716493113</c:v>
                </c:pt>
                <c:pt idx="1">
                  <c:v>2.8026335236815498</c:v>
                </c:pt>
                <c:pt idx="2">
                  <c:v>2.8347866980181302</c:v>
                </c:pt>
                <c:pt idx="3">
                  <c:v>2.8747799798454801</c:v>
                </c:pt>
                <c:pt idx="4">
                  <c:v>2.9161639234128298</c:v>
                </c:pt>
                <c:pt idx="5">
                  <c:v>2.9868055089015701</c:v>
                </c:pt>
                <c:pt idx="6">
                  <c:v>3.0791064830366102</c:v>
                </c:pt>
                <c:pt idx="7">
                  <c:v>3.0790124286194098</c:v>
                </c:pt>
                <c:pt idx="8">
                  <c:v>3.17746724890829</c:v>
                </c:pt>
                <c:pt idx="9">
                  <c:v>3.1789049378568999</c:v>
                </c:pt>
                <c:pt idx="10">
                  <c:v>3.2388041652670401</c:v>
                </c:pt>
                <c:pt idx="11">
                  <c:v>3.2663621095062099</c:v>
                </c:pt>
                <c:pt idx="12">
                  <c:v>3.31566006046355</c:v>
                </c:pt>
                <c:pt idx="13">
                  <c:v>3.3540476990258599</c:v>
                </c:pt>
                <c:pt idx="14">
                  <c:v>3.3939737991266301</c:v>
                </c:pt>
                <c:pt idx="15">
                  <c:v>3.52153846153846</c:v>
                </c:pt>
                <c:pt idx="16">
                  <c:v>3.5320927107826599</c:v>
                </c:pt>
                <c:pt idx="17">
                  <c:v>0.93196644920782856</c:v>
                </c:pt>
              </c:numCache>
            </c:numRef>
          </c:xVal>
          <c:yVal>
            <c:numRef>
              <c:f>Interstitial!$Q$3:$Q$20</c:f>
              <c:numCache>
                <c:formatCode>General</c:formatCode>
                <c:ptCount val="18"/>
                <c:pt idx="0">
                  <c:v>3.1664483244147105E-5</c:v>
                </c:pt>
                <c:pt idx="1">
                  <c:v>3.1442721867757303E-5</c:v>
                </c:pt>
                <c:pt idx="2">
                  <c:v>2.6749637842622403E-5</c:v>
                </c:pt>
                <c:pt idx="3">
                  <c:v>2.6562297456860501E-5</c:v>
                </c:pt>
                <c:pt idx="4">
                  <c:v>2.2597656787710803E-5</c:v>
                </c:pt>
                <c:pt idx="5">
                  <c:v>1.9772895169062902E-5</c:v>
                </c:pt>
                <c:pt idx="6">
                  <c:v>1.9634416217295603E-5</c:v>
                </c:pt>
                <c:pt idx="7">
                  <c:v>1.7794516920711001E-5</c:v>
                </c:pt>
                <c:pt idx="8">
                  <c:v>1.7669893489022501E-5</c:v>
                </c:pt>
                <c:pt idx="9">
                  <c:v>1.5901931203758701E-5</c:v>
                </c:pt>
                <c:pt idx="10">
                  <c:v>1.4310862494229101E-5</c:v>
                </c:pt>
                <c:pt idx="11">
                  <c:v>1.2434272866423401E-5</c:v>
                </c:pt>
                <c:pt idx="12">
                  <c:v>1.3339609035017101E-5</c:v>
                </c:pt>
                <c:pt idx="13">
                  <c:v>1.2347189763124201E-5</c:v>
                </c:pt>
                <c:pt idx="14">
                  <c:v>1.14286029407911E-5</c:v>
                </c:pt>
                <c:pt idx="15">
                  <c:v>1.0000000000000001E-5</c:v>
                </c:pt>
                <c:pt idx="16">
                  <c:v>7.9859637708067599E-6</c:v>
                </c:pt>
                <c:pt idx="17" formatCode="0.00E+00">
                  <c:v>2.7E-4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CE-491A-949F-A6C33EEDC19B}"/>
            </c:ext>
          </c:extLst>
        </c:ser>
        <c:ser>
          <c:idx val="3"/>
          <c:order val="3"/>
          <c:tx>
            <c:v>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chemeClr val="accent5">
                    <a:lumMod val="60000"/>
                    <a:lumOff val="40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1CE-491A-949F-A6C33EEDC19B}"/>
              </c:ext>
            </c:extLst>
          </c:dPt>
          <c:trendline>
            <c:spPr>
              <a:ln w="12700" cap="rnd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exp"/>
            <c:forward val="1.7000000000000002"/>
            <c:backward val="0.5"/>
            <c:dispRSqr val="0"/>
            <c:dispEq val="0"/>
          </c:trendline>
          <c:xVal>
            <c:numRef>
              <c:f>Interstitial!$T$3:$T$9</c:f>
              <c:numCache>
                <c:formatCode>General</c:formatCode>
                <c:ptCount val="7"/>
                <c:pt idx="0">
                  <c:v>1.0277492291880781</c:v>
                </c:pt>
                <c:pt idx="1">
                  <c:v>1.002004008016032</c:v>
                </c:pt>
                <c:pt idx="2">
                  <c:v>0.97751710654936463</c:v>
                </c:pt>
                <c:pt idx="3">
                  <c:v>0.95419847328244278</c:v>
                </c:pt>
                <c:pt idx="4">
                  <c:v>0.93196644920782856</c:v>
                </c:pt>
                <c:pt idx="5">
                  <c:v>0.91074681238615662</c:v>
                </c:pt>
                <c:pt idx="6">
                  <c:v>0.89047195013357083</c:v>
                </c:pt>
              </c:numCache>
            </c:numRef>
          </c:xVal>
          <c:yVal>
            <c:numRef>
              <c:f>Interstitial!$U$3:$U$9</c:f>
              <c:numCache>
                <c:formatCode>General</c:formatCode>
                <c:ptCount val="7"/>
                <c:pt idx="0">
                  <c:v>5.2600000000000004E-10</c:v>
                </c:pt>
                <c:pt idx="1">
                  <c:v>8.9700000000000011E-10</c:v>
                </c:pt>
                <c:pt idx="2">
                  <c:v>1.3700000000000002E-9</c:v>
                </c:pt>
                <c:pt idx="3">
                  <c:v>2.28E-9</c:v>
                </c:pt>
                <c:pt idx="4">
                  <c:v>3.4000000000000003E-9</c:v>
                </c:pt>
                <c:pt idx="5">
                  <c:v>5.2800000000000008E-9</c:v>
                </c:pt>
                <c:pt idx="6">
                  <c:v>7.6700000000000002E-9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CE-491A-949F-A6C33EEDC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5084960"/>
        <c:axId val="1535085440"/>
      </c:scatterChart>
      <c:valAx>
        <c:axId val="1535084960"/>
        <c:scaling>
          <c:orientation val="minMax"/>
          <c:max val="4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 b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1000/T [1/K]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35085440"/>
        <c:crosses val="autoZero"/>
        <c:crossBetween val="midCat"/>
      </c:valAx>
      <c:valAx>
        <c:axId val="1535085440"/>
        <c:scaling>
          <c:logBase val="10"/>
          <c:orientation val="minMax"/>
          <c:max val="1.0000000000000002E-3"/>
          <c:min val="1.0000000000000013E-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layout>
            <c:manualLayout>
              <c:xMode val="edge"/>
              <c:yMode val="edge"/>
              <c:x val="2.7434842249657063E-2"/>
              <c:y val="0.424304324524879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Cambria Math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535084960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20235122358676358"/>
          <c:y val="0.64919931474534265"/>
          <c:w val="5.4091283857007587E-2"/>
          <c:h val="0.2103887537618007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Substitutionals,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Mn</c:v>
          </c:tx>
          <c:spPr>
            <a:ln w="381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exp"/>
            <c:forward val="0.4"/>
            <c:backward val="0.4"/>
            <c:dispRSqr val="0"/>
            <c:dispEq val="0"/>
          </c:trendline>
          <c:xVal>
            <c:numRef>
              <c:f>Substitutional!$D$3:$D$8</c:f>
              <c:numCache>
                <c:formatCode>General</c:formatCode>
                <c:ptCount val="6"/>
                <c:pt idx="0">
                  <c:v>0.85178875638841567</c:v>
                </c:pt>
                <c:pt idx="1">
                  <c:v>0.87466106883582617</c:v>
                </c:pt>
                <c:pt idx="2">
                  <c:v>0.8987148377819717</c:v>
                </c:pt>
                <c:pt idx="3">
                  <c:v>0.8987148377819717</c:v>
                </c:pt>
                <c:pt idx="4">
                  <c:v>0.92421441774491686</c:v>
                </c:pt>
                <c:pt idx="5">
                  <c:v>0.95120327213925615</c:v>
                </c:pt>
              </c:numCache>
            </c:numRef>
          </c:xVal>
          <c:yVal>
            <c:numRef>
              <c:f>Substitutional!$E$3:$E$8</c:f>
              <c:numCache>
                <c:formatCode>General</c:formatCode>
                <c:ptCount val="6"/>
                <c:pt idx="0">
                  <c:v>5.0400000000000003E-12</c:v>
                </c:pt>
                <c:pt idx="1">
                  <c:v>2.5500000000000002E-12</c:v>
                </c:pt>
                <c:pt idx="2">
                  <c:v>1.23E-12</c:v>
                </c:pt>
                <c:pt idx="3">
                  <c:v>1.18E-12</c:v>
                </c:pt>
                <c:pt idx="4">
                  <c:v>5.6999999999999999E-13</c:v>
                </c:pt>
                <c:pt idx="5">
                  <c:v>2.07E-13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4-409E-AFA4-8C7652F331F4}"/>
            </c:ext>
          </c:extLst>
        </c:ser>
        <c:ser>
          <c:idx val="1"/>
          <c:order val="1"/>
          <c:tx>
            <c:v>Ni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exp"/>
            <c:forward val="0.2"/>
            <c:backward val="0.5"/>
            <c:dispRSqr val="0"/>
            <c:dispEq val="0"/>
          </c:trendline>
          <c:xVal>
            <c:numRef>
              <c:f>Substitutional!$H$7:$H$28</c:f>
              <c:numCache>
                <c:formatCode>General</c:formatCode>
                <c:ptCount val="22"/>
                <c:pt idx="0">
                  <c:v>0.85251491901108267</c:v>
                </c:pt>
                <c:pt idx="1">
                  <c:v>0.85251491901108267</c:v>
                </c:pt>
                <c:pt idx="2">
                  <c:v>0.87489063867016625</c:v>
                </c:pt>
                <c:pt idx="3">
                  <c:v>0.87489063867016625</c:v>
                </c:pt>
                <c:pt idx="4">
                  <c:v>0.89847259658580414</c:v>
                </c:pt>
                <c:pt idx="5">
                  <c:v>0.89847259658580414</c:v>
                </c:pt>
                <c:pt idx="6">
                  <c:v>0.92336103416435822</c:v>
                </c:pt>
                <c:pt idx="7">
                  <c:v>0.92336103416435822</c:v>
                </c:pt>
                <c:pt idx="8">
                  <c:v>0.94966761633428298</c:v>
                </c:pt>
                <c:pt idx="9">
                  <c:v>0.94966761633428298</c:v>
                </c:pt>
                <c:pt idx="10">
                  <c:v>0.94966761633428298</c:v>
                </c:pt>
                <c:pt idx="11">
                  <c:v>0.94966761633428298</c:v>
                </c:pt>
                <c:pt idx="12">
                  <c:v>0.97751710654936463</c:v>
                </c:pt>
                <c:pt idx="13">
                  <c:v>0.97751710654936463</c:v>
                </c:pt>
                <c:pt idx="14">
                  <c:v>0.97751710654936463</c:v>
                </c:pt>
                <c:pt idx="15">
                  <c:v>0.97751710654936463</c:v>
                </c:pt>
                <c:pt idx="16">
                  <c:v>1.0172939979654121</c:v>
                </c:pt>
                <c:pt idx="17">
                  <c:v>1.0172939979654121</c:v>
                </c:pt>
                <c:pt idx="18">
                  <c:v>1.0493179433368311</c:v>
                </c:pt>
                <c:pt idx="19">
                  <c:v>1.0493179433368311</c:v>
                </c:pt>
                <c:pt idx="20">
                  <c:v>1.1454753722794959</c:v>
                </c:pt>
                <c:pt idx="21">
                  <c:v>1.1454753722794959</c:v>
                </c:pt>
              </c:numCache>
            </c:numRef>
          </c:xVal>
          <c:yVal>
            <c:numRef>
              <c:f>Substitutional!$I$7:$I$28</c:f>
              <c:numCache>
                <c:formatCode>0.00E+00</c:formatCode>
                <c:ptCount val="22"/>
                <c:pt idx="0">
                  <c:v>5.2300000000000003E-11</c:v>
                </c:pt>
                <c:pt idx="1">
                  <c:v>4.1499999999999999E-11</c:v>
                </c:pt>
                <c:pt idx="2">
                  <c:v>2.7E-11</c:v>
                </c:pt>
                <c:pt idx="3">
                  <c:v>2.7299999999999999E-11</c:v>
                </c:pt>
                <c:pt idx="4">
                  <c:v>1.31E-11</c:v>
                </c:pt>
                <c:pt idx="5">
                  <c:v>1.24E-11</c:v>
                </c:pt>
                <c:pt idx="6">
                  <c:v>8.5600000000000007E-12</c:v>
                </c:pt>
                <c:pt idx="7">
                  <c:v>5.2599999999999998E-12</c:v>
                </c:pt>
                <c:pt idx="8">
                  <c:v>1.4100000000000001E-12</c:v>
                </c:pt>
                <c:pt idx="9">
                  <c:v>1.0700000000000001E-12</c:v>
                </c:pt>
                <c:pt idx="10">
                  <c:v>1.9199999999999999E-12</c:v>
                </c:pt>
                <c:pt idx="11">
                  <c:v>1.8300000000000001E-12</c:v>
                </c:pt>
                <c:pt idx="12">
                  <c:v>4.1300000000000001E-13</c:v>
                </c:pt>
                <c:pt idx="13">
                  <c:v>3.7199999999999998E-13</c:v>
                </c:pt>
                <c:pt idx="14">
                  <c:v>7.4099999999999997E-13</c:v>
                </c:pt>
                <c:pt idx="15">
                  <c:v>5.5499999999999996E-13</c:v>
                </c:pt>
                <c:pt idx="16">
                  <c:v>2.3999999999999999E-13</c:v>
                </c:pt>
                <c:pt idx="17">
                  <c:v>1.4999999999999999E-13</c:v>
                </c:pt>
                <c:pt idx="18">
                  <c:v>6.2999999999999997E-14</c:v>
                </c:pt>
                <c:pt idx="19">
                  <c:v>3.5000000000000002E-14</c:v>
                </c:pt>
                <c:pt idx="20">
                  <c:v>3.6000000000000001E-15</c:v>
                </c:pt>
                <c:pt idx="21">
                  <c:v>2.0999999999999998E-15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4-409E-AFA4-8C7652F331F4}"/>
            </c:ext>
          </c:extLst>
        </c:ser>
        <c:ser>
          <c:idx val="2"/>
          <c:order val="2"/>
          <c:tx>
            <c:v>Si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exp"/>
            <c:forward val="0.60000000000000009"/>
            <c:backward val="0.60000000000000009"/>
            <c:dispRSqr val="0"/>
            <c:dispEq val="0"/>
          </c:trendline>
          <c:xVal>
            <c:numRef>
              <c:f>Substitutional!$L$3:$L$13</c:f>
              <c:numCache>
                <c:formatCode>General</c:formatCode>
                <c:ptCount val="11"/>
                <c:pt idx="0">
                  <c:v>0.73099415204678364</c:v>
                </c:pt>
                <c:pt idx="1">
                  <c:v>0.68166325835037489</c:v>
                </c:pt>
                <c:pt idx="2">
                  <c:v>0.67842605156037994</c:v>
                </c:pt>
                <c:pt idx="3">
                  <c:v>0.67796610169491522</c:v>
                </c:pt>
                <c:pt idx="4">
                  <c:v>0.65703022339027595</c:v>
                </c:pt>
                <c:pt idx="5">
                  <c:v>0.65445026178010468</c:v>
                </c:pt>
                <c:pt idx="6">
                  <c:v>0.64226075786769432</c:v>
                </c:pt>
                <c:pt idx="7">
                  <c:v>0.63572790845518123</c:v>
                </c:pt>
                <c:pt idx="8">
                  <c:v>0.6333122229259025</c:v>
                </c:pt>
                <c:pt idx="9">
                  <c:v>0.6184291898577613</c:v>
                </c:pt>
                <c:pt idx="10">
                  <c:v>0.61728395061728392</c:v>
                </c:pt>
              </c:numCache>
            </c:numRef>
          </c:xVal>
          <c:yVal>
            <c:numRef>
              <c:f>Substitutional!$M$3:$M$13</c:f>
              <c:numCache>
                <c:formatCode>0.00E+00</c:formatCode>
                <c:ptCount val="11"/>
                <c:pt idx="0">
                  <c:v>1.4999999999999999E-8</c:v>
                </c:pt>
                <c:pt idx="1">
                  <c:v>2.4E-8</c:v>
                </c:pt>
                <c:pt idx="2">
                  <c:v>4.1999999999999999E-8</c:v>
                </c:pt>
                <c:pt idx="3">
                  <c:v>3.2000000000000002E-8</c:v>
                </c:pt>
                <c:pt idx="4">
                  <c:v>4.9999999999999998E-8</c:v>
                </c:pt>
                <c:pt idx="5">
                  <c:v>5.7000000000000001E-8</c:v>
                </c:pt>
                <c:pt idx="6">
                  <c:v>1.3E-7</c:v>
                </c:pt>
                <c:pt idx="7">
                  <c:v>8.9999999999999999E-8</c:v>
                </c:pt>
                <c:pt idx="8">
                  <c:v>1.1000000000000001E-7</c:v>
                </c:pt>
                <c:pt idx="9">
                  <c:v>1.1999999999999999E-7</c:v>
                </c:pt>
                <c:pt idx="10">
                  <c:v>1.3E-7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44-409E-AFA4-8C7652F331F4}"/>
            </c:ext>
          </c:extLst>
        </c:ser>
        <c:ser>
          <c:idx val="3"/>
          <c:order val="3"/>
          <c:tx>
            <c:v>Nb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exp"/>
            <c:forward val="0.1"/>
            <c:backward val="0.4"/>
            <c:dispRSqr val="0"/>
            <c:dispEq val="0"/>
          </c:trendline>
          <c:xVal>
            <c:numRef>
              <c:f>Substitutional!$O$3:$O$22</c:f>
              <c:numCache>
                <c:formatCode>General</c:formatCode>
                <c:ptCount val="20"/>
                <c:pt idx="0">
                  <c:v>0.85984522785898543</c:v>
                </c:pt>
                <c:pt idx="1">
                  <c:v>0.87108013937282225</c:v>
                </c:pt>
                <c:pt idx="2">
                  <c:v>0.88261253309796994</c:v>
                </c:pt>
                <c:pt idx="3">
                  <c:v>0.89047195013357083</c:v>
                </c:pt>
                <c:pt idx="4">
                  <c:v>0.89047195013357083</c:v>
                </c:pt>
                <c:pt idx="5">
                  <c:v>0.90661831368993651</c:v>
                </c:pt>
                <c:pt idx="6">
                  <c:v>0.90661831368993651</c:v>
                </c:pt>
                <c:pt idx="7">
                  <c:v>0.92336103416435822</c:v>
                </c:pt>
                <c:pt idx="8">
                  <c:v>0.93196644920782856</c:v>
                </c:pt>
                <c:pt idx="9">
                  <c:v>0.94966761633428298</c:v>
                </c:pt>
                <c:pt idx="10">
                  <c:v>0.96805421103581801</c:v>
                </c:pt>
                <c:pt idx="11">
                  <c:v>1.0070493454179255</c:v>
                </c:pt>
                <c:pt idx="12">
                  <c:v>1.0172939979654121</c:v>
                </c:pt>
                <c:pt idx="13">
                  <c:v>1.0277492291880781</c:v>
                </c:pt>
                <c:pt idx="14">
                  <c:v>1.0834236186348862</c:v>
                </c:pt>
                <c:pt idx="15">
                  <c:v>1.1261261261261262</c:v>
                </c:pt>
                <c:pt idx="16">
                  <c:v>1.1454753722794959</c:v>
                </c:pt>
                <c:pt idx="17">
                  <c:v>1.1655011655011656</c:v>
                </c:pt>
                <c:pt idx="18">
                  <c:v>1.1862396204033214</c:v>
                </c:pt>
                <c:pt idx="19">
                  <c:v>1.2150668286755772</c:v>
                </c:pt>
              </c:numCache>
            </c:numRef>
          </c:xVal>
          <c:yVal>
            <c:numRef>
              <c:f>Substitutional!$R$3:$R$22</c:f>
              <c:numCache>
                <c:formatCode>0.00E+00</c:formatCode>
                <c:ptCount val="20"/>
                <c:pt idx="0">
                  <c:v>4.0400000000000004E-11</c:v>
                </c:pt>
                <c:pt idx="1">
                  <c:v>3.6099999999999997E-11</c:v>
                </c:pt>
                <c:pt idx="2">
                  <c:v>2.07E-11</c:v>
                </c:pt>
                <c:pt idx="3">
                  <c:v>1.5E-11</c:v>
                </c:pt>
                <c:pt idx="4">
                  <c:v>1.56E-11</c:v>
                </c:pt>
                <c:pt idx="5">
                  <c:v>9.7799999999999991E-12</c:v>
                </c:pt>
                <c:pt idx="6">
                  <c:v>1.0000000000000001E-11</c:v>
                </c:pt>
                <c:pt idx="7">
                  <c:v>5.4199999999999999E-12</c:v>
                </c:pt>
                <c:pt idx="8">
                  <c:v>3.8600000000000001E-12</c:v>
                </c:pt>
                <c:pt idx="9">
                  <c:v>1.5299999999999999E-12</c:v>
                </c:pt>
                <c:pt idx="10">
                  <c:v>5.4799999999999999E-13</c:v>
                </c:pt>
                <c:pt idx="11">
                  <c:v>1.5799999999999998E-13</c:v>
                </c:pt>
                <c:pt idx="12">
                  <c:v>1.43E-13</c:v>
                </c:pt>
                <c:pt idx="13">
                  <c:v>7.290000000000001E-14</c:v>
                </c:pt>
                <c:pt idx="14">
                  <c:v>5.0399999999999999E-15</c:v>
                </c:pt>
                <c:pt idx="15">
                  <c:v>8.5799999999999994E-16</c:v>
                </c:pt>
                <c:pt idx="16">
                  <c:v>4.0500000000000002E-16</c:v>
                </c:pt>
                <c:pt idx="17">
                  <c:v>1.76E-16</c:v>
                </c:pt>
                <c:pt idx="18">
                  <c:v>8.8700000000000004E-17</c:v>
                </c:pt>
                <c:pt idx="19">
                  <c:v>3.3699999999999998E-17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44-409E-AFA4-8C7652F331F4}"/>
            </c:ext>
          </c:extLst>
        </c:ser>
        <c:ser>
          <c:idx val="4"/>
          <c:order val="4"/>
          <c:tx>
            <c:v>Mo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exp"/>
            <c:forward val="0.1"/>
            <c:backward val="0.4"/>
            <c:dispRSqr val="0"/>
            <c:dispEq val="0"/>
          </c:trendline>
          <c:xVal>
            <c:numRef>
              <c:f>Substitutional!$T$3:$T$24</c:f>
              <c:numCache>
                <c:formatCode>General</c:formatCode>
                <c:ptCount val="22"/>
                <c:pt idx="0">
                  <c:v>0.85984522785898543</c:v>
                </c:pt>
                <c:pt idx="1">
                  <c:v>0.85984522785898543</c:v>
                </c:pt>
                <c:pt idx="2">
                  <c:v>0.87489063867016625</c:v>
                </c:pt>
                <c:pt idx="3">
                  <c:v>0.89047195013357083</c:v>
                </c:pt>
                <c:pt idx="4">
                  <c:v>0.90661831368993651</c:v>
                </c:pt>
                <c:pt idx="5">
                  <c:v>0.90661831368993651</c:v>
                </c:pt>
                <c:pt idx="6">
                  <c:v>0.91911764705882348</c:v>
                </c:pt>
                <c:pt idx="7">
                  <c:v>0.93196644920782856</c:v>
                </c:pt>
                <c:pt idx="8">
                  <c:v>0.94073377234242705</c:v>
                </c:pt>
                <c:pt idx="9">
                  <c:v>0.95238095238095233</c:v>
                </c:pt>
                <c:pt idx="10">
                  <c:v>0.96061479346781942</c:v>
                </c:pt>
                <c:pt idx="11">
                  <c:v>0.96805421103581801</c:v>
                </c:pt>
                <c:pt idx="12">
                  <c:v>0.97751710654936463</c:v>
                </c:pt>
                <c:pt idx="13">
                  <c:v>1.0070493454179255</c:v>
                </c:pt>
                <c:pt idx="14">
                  <c:v>1.0277492291880781</c:v>
                </c:pt>
                <c:pt idx="15">
                  <c:v>1.0515247108307044</c:v>
                </c:pt>
                <c:pt idx="16">
                  <c:v>1.0834236186348862</c:v>
                </c:pt>
                <c:pt idx="17">
                  <c:v>1.1098779134295227</c:v>
                </c:pt>
                <c:pt idx="18">
                  <c:v>1.1350737797956867</c:v>
                </c:pt>
                <c:pt idx="19">
                  <c:v>1.1441647597254005</c:v>
                </c:pt>
                <c:pt idx="20">
                  <c:v>1.1723329425556859</c:v>
                </c:pt>
                <c:pt idx="21">
                  <c:v>1.2004801920768307</c:v>
                </c:pt>
              </c:numCache>
            </c:numRef>
          </c:xVal>
          <c:yVal>
            <c:numRef>
              <c:f>Substitutional!$W$3:$W$24</c:f>
              <c:numCache>
                <c:formatCode>0.00E+00</c:formatCode>
                <c:ptCount val="22"/>
                <c:pt idx="0">
                  <c:v>2.7500000000000002E-11</c:v>
                </c:pt>
                <c:pt idx="1">
                  <c:v>2.9699999999999998E-11</c:v>
                </c:pt>
                <c:pt idx="2">
                  <c:v>1.64E-11</c:v>
                </c:pt>
                <c:pt idx="3">
                  <c:v>1.1900000000000001E-11</c:v>
                </c:pt>
                <c:pt idx="4">
                  <c:v>6.5700000000000005E-12</c:v>
                </c:pt>
                <c:pt idx="5">
                  <c:v>6.74E-12</c:v>
                </c:pt>
                <c:pt idx="6">
                  <c:v>3.9499999999999999E-12</c:v>
                </c:pt>
                <c:pt idx="7">
                  <c:v>2.8699999999999997E-12</c:v>
                </c:pt>
                <c:pt idx="8">
                  <c:v>1.8400000000000002E-12</c:v>
                </c:pt>
                <c:pt idx="9">
                  <c:v>1.2600000000000001E-12</c:v>
                </c:pt>
                <c:pt idx="10">
                  <c:v>8.8100000000000008E-13</c:v>
                </c:pt>
                <c:pt idx="11">
                  <c:v>5.3700000000000003E-13</c:v>
                </c:pt>
                <c:pt idx="12">
                  <c:v>3.7400000000000002E-13</c:v>
                </c:pt>
                <c:pt idx="13">
                  <c:v>9.0700000000000007E-14</c:v>
                </c:pt>
                <c:pt idx="14">
                  <c:v>4.7800000000000002E-14</c:v>
                </c:pt>
                <c:pt idx="15">
                  <c:v>1.23E-14</c:v>
                </c:pt>
                <c:pt idx="16">
                  <c:v>3.4599999999999998E-15</c:v>
                </c:pt>
                <c:pt idx="17">
                  <c:v>1.37E-15</c:v>
                </c:pt>
                <c:pt idx="18">
                  <c:v>4.8700000000000002E-16</c:v>
                </c:pt>
                <c:pt idx="19">
                  <c:v>3.8700000000000003E-16</c:v>
                </c:pt>
                <c:pt idx="20">
                  <c:v>1.1899999999999999E-16</c:v>
                </c:pt>
                <c:pt idx="21">
                  <c:v>4.7499999999999995E-17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44-409E-AFA4-8C7652F331F4}"/>
            </c:ext>
          </c:extLst>
        </c:ser>
        <c:ser>
          <c:idx val="5"/>
          <c:order val="5"/>
          <c:tx>
            <c:v>Cr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rgbClr val="C00000"/>
                </a:solidFill>
                <a:prstDash val="solid"/>
              </a:ln>
              <a:effectLst/>
            </c:spPr>
            <c:trendlineType val="exp"/>
            <c:forward val="0.2"/>
            <c:backward val="0.30000000000000004"/>
            <c:dispRSqr val="0"/>
            <c:dispEq val="0"/>
          </c:trendline>
          <c:xVal>
            <c:numRef>
              <c:f>Substitutional!$Y$3:$Y$32</c:f>
              <c:numCache>
                <c:formatCode>General</c:formatCode>
                <c:ptCount val="30"/>
                <c:pt idx="0">
                  <c:v>0.85178875638841567</c:v>
                </c:pt>
                <c:pt idx="1">
                  <c:v>0.85397096498719038</c:v>
                </c:pt>
                <c:pt idx="2">
                  <c:v>0.86580086580086579</c:v>
                </c:pt>
                <c:pt idx="3">
                  <c:v>0.86805555555555558</c:v>
                </c:pt>
                <c:pt idx="4">
                  <c:v>0.8703220191470844</c:v>
                </c:pt>
                <c:pt idx="5">
                  <c:v>0.87642418930762489</c:v>
                </c:pt>
                <c:pt idx="6">
                  <c:v>0.88888888888888884</c:v>
                </c:pt>
                <c:pt idx="7">
                  <c:v>0.90090090090090091</c:v>
                </c:pt>
                <c:pt idx="8">
                  <c:v>0.90334236675700086</c:v>
                </c:pt>
                <c:pt idx="9">
                  <c:v>0.91324200913242004</c:v>
                </c:pt>
                <c:pt idx="10">
                  <c:v>0.91996320147194111</c:v>
                </c:pt>
                <c:pt idx="11">
                  <c:v>0.93109869646182497</c:v>
                </c:pt>
                <c:pt idx="12">
                  <c:v>0.94161958568738224</c:v>
                </c:pt>
                <c:pt idx="13">
                  <c:v>0.94786729857819907</c:v>
                </c:pt>
                <c:pt idx="14">
                  <c:v>0.95328884652049573</c:v>
                </c:pt>
                <c:pt idx="15">
                  <c:v>0.96432015429122464</c:v>
                </c:pt>
                <c:pt idx="16">
                  <c:v>0.96711798839458418</c:v>
                </c:pt>
                <c:pt idx="17">
                  <c:v>0.97465886939571145</c:v>
                </c:pt>
                <c:pt idx="18">
                  <c:v>0.97943192948090108</c:v>
                </c:pt>
                <c:pt idx="19">
                  <c:v>0.98328416912487704</c:v>
                </c:pt>
                <c:pt idx="20">
                  <c:v>1.0070493454179255</c:v>
                </c:pt>
                <c:pt idx="21">
                  <c:v>1.0266940451745379</c:v>
                </c:pt>
                <c:pt idx="22">
                  <c:v>1.0330578512396693</c:v>
                </c:pt>
                <c:pt idx="23">
                  <c:v>1.0593220338983051</c:v>
                </c:pt>
                <c:pt idx="24">
                  <c:v>1.0660980810234542</c:v>
                </c:pt>
                <c:pt idx="25">
                  <c:v>1.0775862068965518</c:v>
                </c:pt>
                <c:pt idx="26">
                  <c:v>1.0775862068965518</c:v>
                </c:pt>
                <c:pt idx="27">
                  <c:v>1.0787486515641855</c:v>
                </c:pt>
                <c:pt idx="28">
                  <c:v>1.1185682326621924</c:v>
                </c:pt>
                <c:pt idx="29">
                  <c:v>1.1299435028248588</c:v>
                </c:pt>
              </c:numCache>
            </c:numRef>
          </c:xVal>
          <c:yVal>
            <c:numRef>
              <c:f>Substitutional!$AB$3:$AB$32</c:f>
              <c:numCache>
                <c:formatCode>0.00E+00</c:formatCode>
                <c:ptCount val="30"/>
                <c:pt idx="0">
                  <c:v>4.6699999999999998E-11</c:v>
                </c:pt>
                <c:pt idx="1">
                  <c:v>4.7600000000000002E-11</c:v>
                </c:pt>
                <c:pt idx="2">
                  <c:v>3.3100000000000001E-11</c:v>
                </c:pt>
                <c:pt idx="3">
                  <c:v>2.6099999999999999E-11</c:v>
                </c:pt>
                <c:pt idx="4">
                  <c:v>2.35E-11</c:v>
                </c:pt>
                <c:pt idx="5">
                  <c:v>2.0799999999999999E-11</c:v>
                </c:pt>
                <c:pt idx="6">
                  <c:v>1.3899999999999999E-11</c:v>
                </c:pt>
                <c:pt idx="7">
                  <c:v>1.1399999999999999E-11</c:v>
                </c:pt>
                <c:pt idx="8">
                  <c:v>9.1999999999999996E-12</c:v>
                </c:pt>
                <c:pt idx="9">
                  <c:v>6.4699999999999997E-12</c:v>
                </c:pt>
                <c:pt idx="10">
                  <c:v>4.1700000000000002E-12</c:v>
                </c:pt>
                <c:pt idx="11">
                  <c:v>3.5600000000000002E-12</c:v>
                </c:pt>
                <c:pt idx="12">
                  <c:v>2.9299999999999998E-12</c:v>
                </c:pt>
                <c:pt idx="13">
                  <c:v>2.08E-12</c:v>
                </c:pt>
                <c:pt idx="14">
                  <c:v>1.9E-12</c:v>
                </c:pt>
                <c:pt idx="15">
                  <c:v>8.0799999999999999E-13</c:v>
                </c:pt>
                <c:pt idx="16">
                  <c:v>8.6199999999999996E-13</c:v>
                </c:pt>
                <c:pt idx="17">
                  <c:v>5.0499999999999997E-13</c:v>
                </c:pt>
                <c:pt idx="18">
                  <c:v>3.5300000000000001E-13</c:v>
                </c:pt>
                <c:pt idx="19">
                  <c:v>2.8400000000000005E-13</c:v>
                </c:pt>
                <c:pt idx="20">
                  <c:v>1.1999999999999999E-13</c:v>
                </c:pt>
                <c:pt idx="21">
                  <c:v>3.3499999999999996E-14</c:v>
                </c:pt>
                <c:pt idx="22">
                  <c:v>3.32E-14</c:v>
                </c:pt>
                <c:pt idx="23">
                  <c:v>1.23E-14</c:v>
                </c:pt>
                <c:pt idx="24">
                  <c:v>6.6800000000000005E-15</c:v>
                </c:pt>
                <c:pt idx="25">
                  <c:v>4.32E-15</c:v>
                </c:pt>
                <c:pt idx="26">
                  <c:v>3.7499999999999998E-15</c:v>
                </c:pt>
                <c:pt idx="27">
                  <c:v>3.47E-15</c:v>
                </c:pt>
                <c:pt idx="28">
                  <c:v>8.68E-16</c:v>
                </c:pt>
                <c:pt idx="29">
                  <c:v>3.7200000000000003E-16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44-409E-AFA4-8C7652F33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80959"/>
        <c:axId val="1252080479"/>
      </c:scatterChart>
      <c:valAx>
        <c:axId val="1252080959"/>
        <c:scaling>
          <c:orientation val="minMax"/>
          <c:max val="1.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1000/T [1/K]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2080479"/>
        <c:crosses val="autoZero"/>
        <c:crossBetween val="midCat"/>
      </c:valAx>
      <c:valAx>
        <c:axId val="1252080479"/>
        <c:scaling>
          <c:logBase val="10"/>
          <c:orientation val="minMax"/>
          <c:max val="1.0000000000000004E-6"/>
          <c:min val="1.000000000000001E-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52080959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ayout>
        <c:manualLayout>
          <c:xMode val="edge"/>
          <c:yMode val="edge"/>
          <c:x val="0.18163454660432712"/>
          <c:y val="0.51666311594869541"/>
          <c:w val="6.4237705739452561E-2"/>
          <c:h val="0.3335862412906537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Combined,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</c:v>
          </c:tx>
          <c:spPr>
            <a:ln w="381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Combined!$A$3:$A$24</c:f>
              <c:numCache>
                <c:formatCode>General</c:formatCode>
                <c:ptCount val="22"/>
                <c:pt idx="0">
                  <c:v>4.20836025335909</c:v>
                </c:pt>
                <c:pt idx="1">
                  <c:v>4.0256984907377698</c:v>
                </c:pt>
                <c:pt idx="2">
                  <c:v>3.8843978245137598</c:v>
                </c:pt>
                <c:pt idx="3">
                  <c:v>3.7931079760368198</c:v>
                </c:pt>
                <c:pt idx="4">
                  <c:v>3.67677168585262</c:v>
                </c:pt>
                <c:pt idx="5">
                  <c:v>3.3690418460298801</c:v>
                </c:pt>
                <c:pt idx="6">
                  <c:v>3.31878483128044</c:v>
                </c:pt>
                <c:pt idx="7">
                  <c:v>3.2438917031610202</c:v>
                </c:pt>
                <c:pt idx="8">
                  <c:v>3.2023664754287902</c:v>
                </c:pt>
                <c:pt idx="9">
                  <c:v>3.16092331336402</c:v>
                </c:pt>
                <c:pt idx="10">
                  <c:v>3.1192339542968801</c:v>
                </c:pt>
                <c:pt idx="11">
                  <c:v>2.7202142659972099</c:v>
                </c:pt>
                <c:pt idx="12">
                  <c:v>2.50410253732122</c:v>
                </c:pt>
                <c:pt idx="13">
                  <c:v>2.3463230850722501</c:v>
                </c:pt>
                <c:pt idx="14">
                  <c:v>2.0886861286640399</c:v>
                </c:pt>
                <c:pt idx="15">
                  <c:v>1.2485470646602801</c:v>
                </c:pt>
                <c:pt idx="16">
                  <c:v>1.1240534471310499</c:v>
                </c:pt>
                <c:pt idx="17">
                  <c:v>1.03292772998903</c:v>
                </c:pt>
                <c:pt idx="18">
                  <c:v>1.00788128828176</c:v>
                </c:pt>
                <c:pt idx="19">
                  <c:v>0.97443132222711304</c:v>
                </c:pt>
                <c:pt idx="20">
                  <c:v>0.94130961884227804</c:v>
                </c:pt>
                <c:pt idx="21">
                  <c:v>0.91626317713501404</c:v>
                </c:pt>
              </c:numCache>
            </c:numRef>
          </c:xVal>
          <c:yVal>
            <c:numRef>
              <c:f>Combined!$E$3:$E$24</c:f>
              <c:numCache>
                <c:formatCode>0.00E+00</c:formatCode>
                <c:ptCount val="22"/>
                <c:pt idx="0">
                  <c:v>1.0774226385128251E-20</c:v>
                </c:pt>
                <c:pt idx="1">
                  <c:v>5.0859143469241822E-20</c:v>
                </c:pt>
                <c:pt idx="2">
                  <c:v>2.0017956263785208E-19</c:v>
                </c:pt>
                <c:pt idx="3">
                  <c:v>4.1542404774824245E-19</c:v>
                </c:pt>
                <c:pt idx="4">
                  <c:v>1.2430039372138287E-18</c:v>
                </c:pt>
                <c:pt idx="5">
                  <c:v>3.0431406000455089E-17</c:v>
                </c:pt>
                <c:pt idx="6">
                  <c:v>7.600081846794201E-17</c:v>
                </c:pt>
                <c:pt idx="7">
                  <c:v>1.7299268453457001E-16</c:v>
                </c:pt>
                <c:pt idx="8">
                  <c:v>2.4925179342218927E-16</c:v>
                </c:pt>
                <c:pt idx="9">
                  <c:v>3.2764963930248655E-16</c:v>
                </c:pt>
                <c:pt idx="10">
                  <c:v>5.6715080183481228E-16</c:v>
                </c:pt>
                <c:pt idx="11">
                  <c:v>2.8815088737744856E-14</c:v>
                </c:pt>
                <c:pt idx="12">
                  <c:v>2.3552714795324545E-13</c:v>
                </c:pt>
                <c:pt idx="13">
                  <c:v>9.2638869532475005E-13</c:v>
                </c:pt>
                <c:pt idx="14">
                  <c:v>1.0910001547296868E-11</c:v>
                </c:pt>
                <c:pt idx="15">
                  <c:v>7.7117376517698983E-8</c:v>
                </c:pt>
                <c:pt idx="16">
                  <c:v>2.1044797751873878E-7</c:v>
                </c:pt>
                <c:pt idx="17">
                  <c:v>3.6352840484293596E-7</c:v>
                </c:pt>
                <c:pt idx="18">
                  <c:v>5.2414002494555973E-7</c:v>
                </c:pt>
                <c:pt idx="19">
                  <c:v>9.0758099187580112E-7</c:v>
                </c:pt>
                <c:pt idx="20">
                  <c:v>1.0888469850620415E-6</c:v>
                </c:pt>
                <c:pt idx="21">
                  <c:v>1.5699138727794682E-6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B-4896-BF55-64096AD14762}"/>
            </c:ext>
          </c:extLst>
        </c:ser>
        <c:ser>
          <c:idx val="1"/>
          <c:order val="1"/>
          <c:tx>
            <c:v>N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Combined!$G$3:$G$26</c:f>
              <c:numCache>
                <c:formatCode>General</c:formatCode>
                <c:ptCount val="24"/>
                <c:pt idx="0">
                  <c:v>0.59083484573502598</c:v>
                </c:pt>
                <c:pt idx="1">
                  <c:v>0.89885662431941804</c:v>
                </c:pt>
                <c:pt idx="2">
                  <c:v>0.98411978221415508</c:v>
                </c:pt>
                <c:pt idx="3">
                  <c:v>1.1552268602540798</c:v>
                </c:pt>
                <c:pt idx="4">
                  <c:v>1.30076225045372</c:v>
                </c:pt>
                <c:pt idx="5">
                  <c:v>1.3949364791288501</c:v>
                </c:pt>
                <c:pt idx="6">
                  <c:v>1.4892558983666</c:v>
                </c:pt>
                <c:pt idx="7">
                  <c:v>1.6683303085299399</c:v>
                </c:pt>
                <c:pt idx="8">
                  <c:v>2.1294918330308503</c:v>
                </c:pt>
                <c:pt idx="9">
                  <c:v>2.3097277676950898</c:v>
                </c:pt>
                <c:pt idx="10">
                  <c:v>2.3695644283121498</c:v>
                </c:pt>
                <c:pt idx="11">
                  <c:v>2.71119782214156</c:v>
                </c:pt>
                <c:pt idx="12">
                  <c:v>2.81392014519056</c:v>
                </c:pt>
                <c:pt idx="13">
                  <c:v>3.0191470054446397</c:v>
                </c:pt>
                <c:pt idx="14">
                  <c:v>3.1135390199637003</c:v>
                </c:pt>
                <c:pt idx="15">
                  <c:v>3.1734482758620599</c:v>
                </c:pt>
                <c:pt idx="16">
                  <c:v>3.2502359346642402</c:v>
                </c:pt>
                <c:pt idx="17">
                  <c:v>3.3788929219600705</c:v>
                </c:pt>
                <c:pt idx="18">
                  <c:v>3.4296007259528105</c:v>
                </c:pt>
                <c:pt idx="19">
                  <c:v>3.54094373865698</c:v>
                </c:pt>
                <c:pt idx="20">
                  <c:v>3.86606170598911</c:v>
                </c:pt>
                <c:pt idx="21">
                  <c:v>4.0203629764065294</c:v>
                </c:pt>
                <c:pt idx="22">
                  <c:v>4.1913248638838398</c:v>
                </c:pt>
                <c:pt idx="23">
                  <c:v>4.3201270417422801</c:v>
                </c:pt>
              </c:numCache>
            </c:numRef>
          </c:xVal>
          <c:yVal>
            <c:numRef>
              <c:f>Combined!$L$3:$L$26</c:f>
              <c:numCache>
                <c:formatCode>General</c:formatCode>
                <c:ptCount val="24"/>
                <c:pt idx="0">
                  <c:v>2.9792955786706154E-5</c:v>
                </c:pt>
                <c:pt idx="1">
                  <c:v>2.0128168128736311E-6</c:v>
                </c:pt>
                <c:pt idx="2">
                  <c:v>6.7354417058409213E-7</c:v>
                </c:pt>
                <c:pt idx="3">
                  <c:v>1.4793368568567264E-7</c:v>
                </c:pt>
                <c:pt idx="4">
                  <c:v>4.5504750870320969E-8</c:v>
                </c:pt>
                <c:pt idx="5">
                  <c:v>2.132589364324455E-8</c:v>
                </c:pt>
                <c:pt idx="6">
                  <c:v>1.1827748210529163E-8</c:v>
                </c:pt>
                <c:pt idx="7">
                  <c:v>1.21745681322232E-9</c:v>
                </c:pt>
                <c:pt idx="8">
                  <c:v>7.7825792290597036E-12</c:v>
                </c:pt>
                <c:pt idx="9">
                  <c:v>3.0819792807779286E-12</c:v>
                </c:pt>
                <c:pt idx="10">
                  <c:v>1.7093246141484077E-12</c:v>
                </c:pt>
                <c:pt idx="11">
                  <c:v>4.2038692790253635E-14</c:v>
                </c:pt>
                <c:pt idx="12">
                  <c:v>1.8110378793522653E-14</c:v>
                </c:pt>
                <c:pt idx="13">
                  <c:v>2.6107644800398728E-15</c:v>
                </c:pt>
                <c:pt idx="14">
                  <c:v>1.5751963399307874E-15</c:v>
                </c:pt>
                <c:pt idx="15">
                  <c:v>9.5038963809298705E-16</c:v>
                </c:pt>
                <c:pt idx="16">
                  <c:v>3.76363810384592E-16</c:v>
                </c:pt>
                <c:pt idx="17">
                  <c:v>1.7638366187964328E-16</c:v>
                </c:pt>
                <c:pt idx="18">
                  <c:v>5.4256030695282292E-17</c:v>
                </c:pt>
                <c:pt idx="19">
                  <c:v>2.3373639913759704E-17</c:v>
                </c:pt>
                <c:pt idx="20">
                  <c:v>1.3343589553081312E-18</c:v>
                </c:pt>
                <c:pt idx="21">
                  <c:v>4.8574313551333974E-19</c:v>
                </c:pt>
                <c:pt idx="22">
                  <c:v>9.0149502415294671E-20</c:v>
                </c:pt>
                <c:pt idx="23">
                  <c:v>4.9998637042361658E-20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B-4896-BF55-64096AD14762}"/>
            </c:ext>
          </c:extLst>
        </c:ser>
        <c:ser>
          <c:idx val="2"/>
          <c:order val="2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Combined!$M$3:$M$20</c:f>
              <c:numCache>
                <c:formatCode>General</c:formatCode>
                <c:ptCount val="18"/>
                <c:pt idx="0">
                  <c:v>2.68571716493113</c:v>
                </c:pt>
                <c:pt idx="1">
                  <c:v>2.8026335236815498</c:v>
                </c:pt>
                <c:pt idx="2">
                  <c:v>2.8347866980181302</c:v>
                </c:pt>
                <c:pt idx="3">
                  <c:v>2.8747799798454801</c:v>
                </c:pt>
                <c:pt idx="4">
                  <c:v>2.9161639234128298</c:v>
                </c:pt>
                <c:pt idx="5">
                  <c:v>2.9868055089015701</c:v>
                </c:pt>
                <c:pt idx="6">
                  <c:v>3.0791064830366102</c:v>
                </c:pt>
                <c:pt idx="7">
                  <c:v>3.0790124286194098</c:v>
                </c:pt>
                <c:pt idx="8">
                  <c:v>3.17746724890829</c:v>
                </c:pt>
                <c:pt idx="9">
                  <c:v>3.1789049378568999</c:v>
                </c:pt>
                <c:pt idx="10">
                  <c:v>3.2388041652670401</c:v>
                </c:pt>
                <c:pt idx="11">
                  <c:v>3.2663621095062099</c:v>
                </c:pt>
                <c:pt idx="12">
                  <c:v>3.31566006046355</c:v>
                </c:pt>
                <c:pt idx="13">
                  <c:v>3.3540476990258599</c:v>
                </c:pt>
                <c:pt idx="14">
                  <c:v>3.3939737991266301</c:v>
                </c:pt>
                <c:pt idx="15">
                  <c:v>3.52153846153846</c:v>
                </c:pt>
                <c:pt idx="16">
                  <c:v>3.5320927107826599</c:v>
                </c:pt>
                <c:pt idx="17">
                  <c:v>0.93196644920782856</c:v>
                </c:pt>
              </c:numCache>
            </c:numRef>
          </c:xVal>
          <c:yVal>
            <c:numRef>
              <c:f>Combined!$Q$3:$Q$20</c:f>
              <c:numCache>
                <c:formatCode>General</c:formatCode>
                <c:ptCount val="18"/>
                <c:pt idx="0">
                  <c:v>3.1664483244147105E-5</c:v>
                </c:pt>
                <c:pt idx="1">
                  <c:v>3.1442721867757303E-5</c:v>
                </c:pt>
                <c:pt idx="2">
                  <c:v>2.6749637842622403E-5</c:v>
                </c:pt>
                <c:pt idx="3">
                  <c:v>2.6562297456860501E-5</c:v>
                </c:pt>
                <c:pt idx="4">
                  <c:v>2.2597656787710803E-5</c:v>
                </c:pt>
                <c:pt idx="5">
                  <c:v>1.9772895169062902E-5</c:v>
                </c:pt>
                <c:pt idx="6">
                  <c:v>1.9634416217295603E-5</c:v>
                </c:pt>
                <c:pt idx="7">
                  <c:v>1.7794516920711001E-5</c:v>
                </c:pt>
                <c:pt idx="8">
                  <c:v>1.7669893489022501E-5</c:v>
                </c:pt>
                <c:pt idx="9">
                  <c:v>1.5901931203758701E-5</c:v>
                </c:pt>
                <c:pt idx="10">
                  <c:v>1.4310862494229101E-5</c:v>
                </c:pt>
                <c:pt idx="11">
                  <c:v>1.2434272866423401E-5</c:v>
                </c:pt>
                <c:pt idx="12">
                  <c:v>1.3339609035017101E-5</c:v>
                </c:pt>
                <c:pt idx="13">
                  <c:v>1.2347189763124201E-5</c:v>
                </c:pt>
                <c:pt idx="14">
                  <c:v>1.14286029407911E-5</c:v>
                </c:pt>
                <c:pt idx="15">
                  <c:v>1.0000000000000001E-5</c:v>
                </c:pt>
                <c:pt idx="16">
                  <c:v>7.9859637708067599E-6</c:v>
                </c:pt>
                <c:pt idx="17" formatCode="0.00E+00">
                  <c:v>2.7E-4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AB-4896-BF55-64096AD14762}"/>
            </c:ext>
          </c:extLst>
        </c:ser>
        <c:ser>
          <c:idx val="3"/>
          <c:order val="3"/>
          <c:tx>
            <c:v>O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Combined!$T$3:$T$9</c:f>
              <c:numCache>
                <c:formatCode>General</c:formatCode>
                <c:ptCount val="7"/>
                <c:pt idx="0">
                  <c:v>1.0277492291880781</c:v>
                </c:pt>
                <c:pt idx="1">
                  <c:v>1.002004008016032</c:v>
                </c:pt>
                <c:pt idx="2">
                  <c:v>0.97751710654936463</c:v>
                </c:pt>
                <c:pt idx="3">
                  <c:v>0.95419847328244278</c:v>
                </c:pt>
                <c:pt idx="4">
                  <c:v>0.93196644920782856</c:v>
                </c:pt>
                <c:pt idx="5">
                  <c:v>0.91074681238615662</c:v>
                </c:pt>
                <c:pt idx="6">
                  <c:v>0.89047195013357083</c:v>
                </c:pt>
              </c:numCache>
            </c:numRef>
          </c:xVal>
          <c:yVal>
            <c:numRef>
              <c:f>Combined!$U$3:$U$9</c:f>
              <c:numCache>
                <c:formatCode>General</c:formatCode>
                <c:ptCount val="7"/>
                <c:pt idx="0">
                  <c:v>5.2600000000000004E-10</c:v>
                </c:pt>
                <c:pt idx="1">
                  <c:v>8.9700000000000011E-10</c:v>
                </c:pt>
                <c:pt idx="2">
                  <c:v>1.3700000000000002E-9</c:v>
                </c:pt>
                <c:pt idx="3">
                  <c:v>2.28E-9</c:v>
                </c:pt>
                <c:pt idx="4">
                  <c:v>3.4000000000000003E-9</c:v>
                </c:pt>
                <c:pt idx="5">
                  <c:v>5.2800000000000008E-9</c:v>
                </c:pt>
                <c:pt idx="6">
                  <c:v>7.6700000000000002E-9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AB-4896-BF55-64096AD14762}"/>
            </c:ext>
          </c:extLst>
        </c:ser>
        <c:ser>
          <c:idx val="4"/>
          <c:order val="4"/>
          <c:tx>
            <c:v>Mn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Combined!$Y$3:$Y$8</c:f>
              <c:numCache>
                <c:formatCode>General</c:formatCode>
                <c:ptCount val="6"/>
                <c:pt idx="0">
                  <c:v>0.85178875638841567</c:v>
                </c:pt>
                <c:pt idx="1">
                  <c:v>0.87466106883582617</c:v>
                </c:pt>
                <c:pt idx="2">
                  <c:v>0.8987148377819717</c:v>
                </c:pt>
                <c:pt idx="3">
                  <c:v>0.8987148377819717</c:v>
                </c:pt>
                <c:pt idx="4">
                  <c:v>0.92421441774491686</c:v>
                </c:pt>
                <c:pt idx="5">
                  <c:v>0.95120327213925615</c:v>
                </c:pt>
              </c:numCache>
            </c:numRef>
          </c:xVal>
          <c:yVal>
            <c:numRef>
              <c:f>Combined!$Z$3:$Z$8</c:f>
              <c:numCache>
                <c:formatCode>General</c:formatCode>
                <c:ptCount val="6"/>
                <c:pt idx="0">
                  <c:v>5.0400000000000003E-12</c:v>
                </c:pt>
                <c:pt idx="1">
                  <c:v>2.5500000000000002E-12</c:v>
                </c:pt>
                <c:pt idx="2">
                  <c:v>1.23E-12</c:v>
                </c:pt>
                <c:pt idx="3">
                  <c:v>1.18E-12</c:v>
                </c:pt>
                <c:pt idx="4">
                  <c:v>5.6999999999999999E-13</c:v>
                </c:pt>
                <c:pt idx="5">
                  <c:v>2.07E-13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AB-4896-BF55-64096AD14762}"/>
            </c:ext>
          </c:extLst>
        </c:ser>
        <c:ser>
          <c:idx val="5"/>
          <c:order val="5"/>
          <c:tx>
            <c:v>Si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Combined!$AC$3:$AC$13</c:f>
              <c:numCache>
                <c:formatCode>General</c:formatCode>
                <c:ptCount val="11"/>
                <c:pt idx="0">
                  <c:v>0.73099415204678364</c:v>
                </c:pt>
                <c:pt idx="1">
                  <c:v>0.68166325835037489</c:v>
                </c:pt>
                <c:pt idx="2">
                  <c:v>0.67842605156037994</c:v>
                </c:pt>
                <c:pt idx="3">
                  <c:v>0.67796610169491522</c:v>
                </c:pt>
                <c:pt idx="4">
                  <c:v>0.65703022339027595</c:v>
                </c:pt>
                <c:pt idx="5">
                  <c:v>0.65445026178010468</c:v>
                </c:pt>
                <c:pt idx="6">
                  <c:v>0.64226075786769432</c:v>
                </c:pt>
                <c:pt idx="7">
                  <c:v>0.63572790845518123</c:v>
                </c:pt>
                <c:pt idx="8">
                  <c:v>0.6333122229259025</c:v>
                </c:pt>
                <c:pt idx="9">
                  <c:v>0.6184291898577613</c:v>
                </c:pt>
                <c:pt idx="10">
                  <c:v>0.61728395061728392</c:v>
                </c:pt>
              </c:numCache>
            </c:numRef>
          </c:xVal>
          <c:yVal>
            <c:numRef>
              <c:f>Combined!$AD$3:$AD$13</c:f>
              <c:numCache>
                <c:formatCode>0.00E+00</c:formatCode>
                <c:ptCount val="11"/>
                <c:pt idx="0">
                  <c:v>1.4999999999999999E-8</c:v>
                </c:pt>
                <c:pt idx="1">
                  <c:v>2.4E-8</c:v>
                </c:pt>
                <c:pt idx="2">
                  <c:v>4.1999999999999999E-8</c:v>
                </c:pt>
                <c:pt idx="3">
                  <c:v>3.2000000000000002E-8</c:v>
                </c:pt>
                <c:pt idx="4">
                  <c:v>4.9999999999999998E-8</c:v>
                </c:pt>
                <c:pt idx="5">
                  <c:v>5.7000000000000001E-8</c:v>
                </c:pt>
                <c:pt idx="6">
                  <c:v>1.3E-7</c:v>
                </c:pt>
                <c:pt idx="7">
                  <c:v>8.9999999999999999E-8</c:v>
                </c:pt>
                <c:pt idx="8">
                  <c:v>1.1000000000000001E-7</c:v>
                </c:pt>
                <c:pt idx="9">
                  <c:v>1.1999999999999999E-7</c:v>
                </c:pt>
                <c:pt idx="10">
                  <c:v>1.3E-7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AB-4896-BF55-64096AD14762}"/>
            </c:ext>
          </c:extLst>
        </c:ser>
        <c:ser>
          <c:idx val="6"/>
          <c:order val="6"/>
          <c:tx>
            <c:v>Cr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Combined!$AF$3:$AF$32</c:f>
              <c:numCache>
                <c:formatCode>General</c:formatCode>
                <c:ptCount val="30"/>
                <c:pt idx="0">
                  <c:v>0.85178875638841567</c:v>
                </c:pt>
                <c:pt idx="1">
                  <c:v>0.85397096498719038</c:v>
                </c:pt>
                <c:pt idx="2">
                  <c:v>0.86580086580086579</c:v>
                </c:pt>
                <c:pt idx="3">
                  <c:v>0.86805555555555558</c:v>
                </c:pt>
                <c:pt idx="4">
                  <c:v>0.8703220191470844</c:v>
                </c:pt>
                <c:pt idx="5">
                  <c:v>0.87642418930762489</c:v>
                </c:pt>
                <c:pt idx="6">
                  <c:v>0.88888888888888884</c:v>
                </c:pt>
                <c:pt idx="7">
                  <c:v>0.90090090090090091</c:v>
                </c:pt>
                <c:pt idx="8">
                  <c:v>0.90334236675700086</c:v>
                </c:pt>
                <c:pt idx="9">
                  <c:v>0.91324200913242004</c:v>
                </c:pt>
                <c:pt idx="10">
                  <c:v>0.91996320147194111</c:v>
                </c:pt>
                <c:pt idx="11">
                  <c:v>0.93109869646182497</c:v>
                </c:pt>
                <c:pt idx="12">
                  <c:v>0.94161958568738224</c:v>
                </c:pt>
                <c:pt idx="13">
                  <c:v>0.94786729857819907</c:v>
                </c:pt>
                <c:pt idx="14">
                  <c:v>0.95328884652049573</c:v>
                </c:pt>
                <c:pt idx="15">
                  <c:v>0.96432015429122464</c:v>
                </c:pt>
                <c:pt idx="16">
                  <c:v>0.96711798839458418</c:v>
                </c:pt>
                <c:pt idx="17">
                  <c:v>0.97465886939571145</c:v>
                </c:pt>
                <c:pt idx="18">
                  <c:v>0.97943192948090108</c:v>
                </c:pt>
                <c:pt idx="19">
                  <c:v>0.98328416912487704</c:v>
                </c:pt>
                <c:pt idx="20">
                  <c:v>1.0070493454179255</c:v>
                </c:pt>
                <c:pt idx="21">
                  <c:v>1.0266940451745379</c:v>
                </c:pt>
                <c:pt idx="22">
                  <c:v>1.0330578512396693</c:v>
                </c:pt>
                <c:pt idx="23">
                  <c:v>1.0593220338983051</c:v>
                </c:pt>
                <c:pt idx="24">
                  <c:v>1.0660980810234542</c:v>
                </c:pt>
                <c:pt idx="25">
                  <c:v>1.0775862068965518</c:v>
                </c:pt>
                <c:pt idx="26">
                  <c:v>1.0775862068965518</c:v>
                </c:pt>
                <c:pt idx="27">
                  <c:v>1.0787486515641855</c:v>
                </c:pt>
                <c:pt idx="28">
                  <c:v>1.1185682326621924</c:v>
                </c:pt>
                <c:pt idx="29">
                  <c:v>1.1299435028248588</c:v>
                </c:pt>
              </c:numCache>
            </c:numRef>
          </c:xVal>
          <c:yVal>
            <c:numRef>
              <c:f>Combined!$AI$3:$AI$32</c:f>
              <c:numCache>
                <c:formatCode>0.00E+00</c:formatCode>
                <c:ptCount val="30"/>
                <c:pt idx="0">
                  <c:v>4.6699999999999998E-11</c:v>
                </c:pt>
                <c:pt idx="1">
                  <c:v>4.7600000000000002E-11</c:v>
                </c:pt>
                <c:pt idx="2">
                  <c:v>3.3100000000000001E-11</c:v>
                </c:pt>
                <c:pt idx="3">
                  <c:v>2.6099999999999999E-11</c:v>
                </c:pt>
                <c:pt idx="4">
                  <c:v>2.35E-11</c:v>
                </c:pt>
                <c:pt idx="5">
                  <c:v>2.0799999999999999E-11</c:v>
                </c:pt>
                <c:pt idx="6">
                  <c:v>1.3899999999999999E-11</c:v>
                </c:pt>
                <c:pt idx="7">
                  <c:v>1.1399999999999999E-11</c:v>
                </c:pt>
                <c:pt idx="8">
                  <c:v>9.1999999999999996E-12</c:v>
                </c:pt>
                <c:pt idx="9">
                  <c:v>6.4699999999999997E-12</c:v>
                </c:pt>
                <c:pt idx="10">
                  <c:v>4.1700000000000002E-12</c:v>
                </c:pt>
                <c:pt idx="11">
                  <c:v>3.5600000000000002E-12</c:v>
                </c:pt>
                <c:pt idx="12">
                  <c:v>2.9299999999999998E-12</c:v>
                </c:pt>
                <c:pt idx="13">
                  <c:v>2.08E-12</c:v>
                </c:pt>
                <c:pt idx="14">
                  <c:v>1.9E-12</c:v>
                </c:pt>
                <c:pt idx="15">
                  <c:v>8.0799999999999999E-13</c:v>
                </c:pt>
                <c:pt idx="16">
                  <c:v>8.6199999999999996E-13</c:v>
                </c:pt>
                <c:pt idx="17">
                  <c:v>5.0499999999999997E-13</c:v>
                </c:pt>
                <c:pt idx="18">
                  <c:v>3.5300000000000001E-13</c:v>
                </c:pt>
                <c:pt idx="19">
                  <c:v>2.8400000000000005E-13</c:v>
                </c:pt>
                <c:pt idx="20">
                  <c:v>1.1999999999999999E-13</c:v>
                </c:pt>
                <c:pt idx="21">
                  <c:v>3.3499999999999996E-14</c:v>
                </c:pt>
                <c:pt idx="22">
                  <c:v>3.32E-14</c:v>
                </c:pt>
                <c:pt idx="23">
                  <c:v>1.23E-14</c:v>
                </c:pt>
                <c:pt idx="24">
                  <c:v>6.6800000000000005E-15</c:v>
                </c:pt>
                <c:pt idx="25">
                  <c:v>4.32E-15</c:v>
                </c:pt>
                <c:pt idx="26">
                  <c:v>3.7499999999999998E-15</c:v>
                </c:pt>
                <c:pt idx="27">
                  <c:v>3.47E-15</c:v>
                </c:pt>
                <c:pt idx="28">
                  <c:v>8.68E-16</c:v>
                </c:pt>
                <c:pt idx="29">
                  <c:v>3.7200000000000003E-16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AB-4896-BF55-64096AD14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085200"/>
        <c:axId val="1540340880"/>
      </c:scatterChart>
      <c:valAx>
        <c:axId val="1521085200"/>
        <c:scaling>
          <c:orientation val="minMax"/>
          <c:max val="4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1000/T [1/K]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40340880"/>
        <c:crosses val="autoZero"/>
        <c:crossBetween val="midCat"/>
      </c:valAx>
      <c:valAx>
        <c:axId val="1540340880"/>
        <c:scaling>
          <c:logBase val="10"/>
          <c:orientation val="minMax"/>
          <c:max val="1.0000000000000002E-2"/>
          <c:min val="1.0000000000000012E-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1085200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47562546654147"/>
          <c:y val="0.11106703767292245"/>
          <c:w val="5.8797767824893446E-2"/>
          <c:h val="0.3643612530889779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Interstitials,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800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square"/>
              <c:size val="8"/>
              <c:spPr>
                <a:solidFill>
                  <a:srgbClr val="0070C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</c:dPt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0.8"/>
            <c:dispRSqr val="1"/>
            <c:dispEq val="0"/>
            <c:trendlineLbl>
              <c:layout>
                <c:manualLayout>
                  <c:x val="-3.794622160407974E-2"/>
                  <c:y val="-0.2713731920745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 Dep.'!$B$2,'Structure Dep.'!$B$4,'Structure Dep.'!$B$5)</c:f>
              <c:numCache>
                <c:formatCode>General</c:formatCode>
                <c:ptCount val="3"/>
                <c:pt idx="0">
                  <c:v>0.46</c:v>
                </c:pt>
                <c:pt idx="1">
                  <c:v>0.77</c:v>
                </c:pt>
                <c:pt idx="2">
                  <c:v>0.71</c:v>
                </c:pt>
              </c:numCache>
            </c:numRef>
          </c:xVal>
          <c:yVal>
            <c:numRef>
              <c:f>('Structure Dep.'!$C$2,'Structure Dep.'!$C$4,'Structure Dep.'!$C$5)</c:f>
              <c:numCache>
                <c:formatCode>0.00E+00</c:formatCode>
                <c:ptCount val="3"/>
                <c:pt idx="0">
                  <c:v>2.7E-4</c:v>
                </c:pt>
                <c:pt idx="1">
                  <c:v>1.7E-6</c:v>
                </c:pt>
                <c:pt idx="2">
                  <c:v>7.3E-7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E5-48F3-893F-696B7BAB416A}"/>
            </c:ext>
          </c:extLst>
        </c:ser>
        <c:ser>
          <c:idx val="2"/>
          <c:order val="2"/>
          <c:tx>
            <c:v>100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92D050"/>
                </a:solidFill>
                <a:prstDash val="sysDot"/>
              </a:ln>
              <a:effectLst/>
            </c:spPr>
            <c:trendlineType val="exp"/>
            <c:forward val="0.2"/>
            <c:dispRSqr val="1"/>
            <c:dispEq val="0"/>
            <c:trendlineLbl>
              <c:layout>
                <c:manualLayout>
                  <c:x val="-5.5833780513179943E-2"/>
                  <c:y val="-2.53731719235671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 Dep.'!$B$2,'Structure Dep.'!$B$4,'Structure Dep.'!$B$5)</c:f>
              <c:numCache>
                <c:formatCode>General</c:formatCode>
                <c:ptCount val="3"/>
                <c:pt idx="0">
                  <c:v>0.46</c:v>
                </c:pt>
                <c:pt idx="1">
                  <c:v>0.77</c:v>
                </c:pt>
                <c:pt idx="2">
                  <c:v>0.71</c:v>
                </c:pt>
              </c:numCache>
            </c:numRef>
          </c:xVal>
          <c:yVal>
            <c:numRef>
              <c:f>('Structure Dep.'!$F$2,'Structure Dep.'!$F$4,'Structure Dep.'!$F$5)</c:f>
              <c:numCache>
                <c:formatCode>General</c:formatCode>
                <c:ptCount val="3"/>
                <c:pt idx="0">
                  <c:v>3.1664483244147105E-5</c:v>
                </c:pt>
                <c:pt idx="1">
                  <c:v>2.8815088737744856E-14</c:v>
                </c:pt>
                <c:pt idx="2">
                  <c:v>4.2038692790253635E-14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3E5-48F3-893F-696B7BAB416A}"/>
            </c:ext>
          </c:extLst>
        </c:ser>
        <c:ser>
          <c:idx val="3"/>
          <c:order val="3"/>
          <c:tx>
            <c:v>35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FFC000"/>
                </a:solidFill>
                <a:prstDash val="sysDot"/>
              </a:ln>
              <a:effectLst/>
            </c:spPr>
            <c:trendlineType val="exp"/>
            <c:forward val="0.1"/>
            <c:dispRSqr val="1"/>
            <c:dispEq val="0"/>
            <c:trendlineLbl>
              <c:layout>
                <c:manualLayout>
                  <c:x val="-0.10101007888617539"/>
                  <c:y val="-9.378290285691256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 Dep.'!$B$2,'Structure Dep.'!$B$4,'Structure Dep.'!$B$5)</c:f>
              <c:numCache>
                <c:formatCode>General</c:formatCode>
                <c:ptCount val="3"/>
                <c:pt idx="0">
                  <c:v>0.46</c:v>
                </c:pt>
                <c:pt idx="1">
                  <c:v>0.77</c:v>
                </c:pt>
                <c:pt idx="2">
                  <c:v>0.71</c:v>
                </c:pt>
              </c:numCache>
            </c:numRef>
          </c:xVal>
          <c:yVal>
            <c:numRef>
              <c:f>('Structure Dep.'!$G$2,'Structure Dep.'!$G$4,'Structure Dep.'!$G$5)</c:f>
              <c:numCache>
                <c:formatCode>General</c:formatCode>
                <c:ptCount val="3"/>
                <c:pt idx="0">
                  <c:v>1.4310862494229101E-5</c:v>
                </c:pt>
                <c:pt idx="1">
                  <c:v>1.7299268453457001E-16</c:v>
                </c:pt>
                <c:pt idx="2">
                  <c:v>3.76363810384592E-16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3E5-48F3-893F-696B7BAB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170208"/>
        <c:axId val="16121692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BCC Self-Diffusion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'Structure Dep.'!$B$7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1.28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'Structure Dep.'!$C$7</c15:sqref>
                        </c15:formulaRef>
                      </c:ext>
                    </c:extLst>
                    <c:numCache>
                      <c:formatCode>0.00E+00</c:formatCode>
                      <c:ptCount val="1"/>
                      <c:pt idx="0">
                        <c:v>3.0000000000000001E-12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C3E5-48F3-893F-696B7BAB416A}"/>
                  </c:ext>
                </c:extLst>
              </c15:ser>
            </c15:filteredScatterSeries>
          </c:ext>
        </c:extLst>
      </c:scatterChart>
      <c:valAx>
        <c:axId val="1612170208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Atomic Radius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2169248"/>
        <c:crosses val="autoZero"/>
        <c:crossBetween val="midCat"/>
      </c:valAx>
      <c:valAx>
        <c:axId val="1612169248"/>
        <c:scaling>
          <c:logBase val="10"/>
          <c:orientation val="minMax"/>
          <c:max val="1.0000000000000002E-2"/>
          <c:min val="1.000000000000001E-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  <a:endParaRPr lang="en-US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2170208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1086190721291967"/>
          <c:y val="0.65909239751940796"/>
          <c:w val="9.7373799890734192E-2"/>
          <c:h val="0.1628039657230946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Substitutionals,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700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92D050"/>
                </a:solidFill>
                <a:prstDash val="sysDot"/>
              </a:ln>
              <a:effectLst/>
            </c:spPr>
            <c:trendlineType val="exp"/>
            <c:forward val="5.000000000000001E-2"/>
            <c:backward val="0.1"/>
            <c:dispRSqr val="1"/>
            <c:dispEq val="0"/>
            <c:trendlineLbl>
              <c:layout>
                <c:manualLayout>
                  <c:x val="-2.1585720215857203E-3"/>
                  <c:y val="3.00650220072539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 Dep.'!$B$10,'Structure Dep.'!$B$11,'Structure Dep.'!$B$13,'Structure Dep.'!$B$15,'Structure Dep.'!$B$16)</c:f>
              <c:numCache>
                <c:formatCode>General</c:formatCode>
                <c:ptCount val="5"/>
                <c:pt idx="0">
                  <c:v>1.25</c:v>
                </c:pt>
                <c:pt idx="1">
                  <c:v>1.25</c:v>
                </c:pt>
                <c:pt idx="2" formatCode="0.00">
                  <c:v>1.3</c:v>
                </c:pt>
                <c:pt idx="3">
                  <c:v>1.45</c:v>
                </c:pt>
                <c:pt idx="4" formatCode="0.00">
                  <c:v>1.4</c:v>
                </c:pt>
              </c:numCache>
            </c:numRef>
          </c:xVal>
          <c:yVal>
            <c:numRef>
              <c:f>('Structure Dep.'!$D$10,'Structure Dep.'!$D$11,'Structure Dep.'!$D$13,'Structure Dep.'!$D$15,'Structure Dep.'!$D$16)</c:f>
              <c:numCache>
                <c:formatCode>General</c:formatCode>
                <c:ptCount val="5"/>
                <c:pt idx="0" formatCode="0.00E+00">
                  <c:v>2.3999999999999999E-13</c:v>
                </c:pt>
                <c:pt idx="1">
                  <c:v>1.4999999999999999E-13</c:v>
                </c:pt>
                <c:pt idx="2">
                  <c:v>3.3499999999999996E-14</c:v>
                </c:pt>
                <c:pt idx="3" formatCode="0.00E+00">
                  <c:v>7.290000000000001E-14</c:v>
                </c:pt>
                <c:pt idx="4">
                  <c:v>4.7800000000000002E-14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28-4D17-8C3E-C4C75F9C7FC5}"/>
            </c:ext>
          </c:extLst>
        </c:ser>
        <c:ser>
          <c:idx val="0"/>
          <c:order val="1"/>
          <c:tx>
            <c:v>800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0.2"/>
            <c:backward val="5.000000000000001E-2"/>
            <c:dispRSqr val="1"/>
            <c:dispEq val="0"/>
            <c:trendlineLbl>
              <c:layout>
                <c:manualLayout>
                  <c:x val="1.6449142487326071E-3"/>
                  <c:y val="-1.7991278091202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('Structure Dep.'!$B$7,'Structure Dep.'!$B$9:$B$14)</c:f>
              <c:numCache>
                <c:formatCode>General</c:formatCode>
                <c:ptCount val="7"/>
                <c:pt idx="0">
                  <c:v>1.28</c:v>
                </c:pt>
                <c:pt idx="1">
                  <c:v>1.26</c:v>
                </c:pt>
                <c:pt idx="2">
                  <c:v>1.25</c:v>
                </c:pt>
                <c:pt idx="3">
                  <c:v>1.25</c:v>
                </c:pt>
                <c:pt idx="4">
                  <c:v>1.18</c:v>
                </c:pt>
                <c:pt idx="5" formatCode="0.00">
                  <c:v>1.3</c:v>
                </c:pt>
                <c:pt idx="6" formatCode="0.00">
                  <c:v>1.3</c:v>
                </c:pt>
              </c:numCache>
            </c:numRef>
          </c:xVal>
          <c:yVal>
            <c:numRef>
              <c:f>('Structure Dep.'!$C$7,'Structure Dep.'!$C$9:$C$14)</c:f>
              <c:numCache>
                <c:formatCode>0.00E+00</c:formatCode>
                <c:ptCount val="7"/>
                <c:pt idx="0">
                  <c:v>3.0000000000000001E-12</c:v>
                </c:pt>
                <c:pt idx="1">
                  <c:v>1.5000000000000001E-12</c:v>
                </c:pt>
                <c:pt idx="2">
                  <c:v>8.5600000000000007E-12</c:v>
                </c:pt>
                <c:pt idx="3" formatCode="General">
                  <c:v>5.2599999999999998E-12</c:v>
                </c:pt>
                <c:pt idx="4">
                  <c:v>5.6999999999999999E-13</c:v>
                </c:pt>
                <c:pt idx="5" formatCode="General">
                  <c:v>4.1700000000000002E-12</c:v>
                </c:pt>
                <c:pt idx="6" formatCode="General">
                  <c:v>3.5600000000000002E-12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8-4D17-8C3E-C4C75F9C7FC5}"/>
            </c:ext>
          </c:extLst>
        </c:ser>
        <c:ser>
          <c:idx val="1"/>
          <c:order val="2"/>
          <c:tx>
            <c:v>900 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FFC000"/>
                </a:solidFill>
                <a:prstDash val="sysDot"/>
              </a:ln>
              <a:effectLst/>
            </c:spPr>
            <c:trendlineType val="exp"/>
            <c:forward val="0.2"/>
            <c:backward val="5.000000000000001E-2"/>
            <c:dispRSqr val="1"/>
            <c:dispEq val="0"/>
            <c:trendlineLbl>
              <c:layout>
                <c:manualLayout>
                  <c:x val="-0.17698380223539473"/>
                  <c:y val="5.11089681774349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'Structure Dep.'!$B$10:$B$14</c:f>
              <c:numCache>
                <c:formatCode>General</c:formatCode>
                <c:ptCount val="5"/>
                <c:pt idx="0">
                  <c:v>1.25</c:v>
                </c:pt>
                <c:pt idx="1">
                  <c:v>1.25</c:v>
                </c:pt>
                <c:pt idx="2">
                  <c:v>1.18</c:v>
                </c:pt>
                <c:pt idx="3" formatCode="0.00">
                  <c:v>1.3</c:v>
                </c:pt>
                <c:pt idx="4" formatCode="0.00">
                  <c:v>1.3</c:v>
                </c:pt>
              </c:numCache>
            </c:numRef>
          </c:xVal>
          <c:yVal>
            <c:numRef>
              <c:f>'Structure Dep.'!$E$10:$E$14</c:f>
              <c:numCache>
                <c:formatCode>General</c:formatCode>
                <c:ptCount val="5"/>
                <c:pt idx="0" formatCode="0.00E+00">
                  <c:v>5.2300000000000003E-11</c:v>
                </c:pt>
                <c:pt idx="1">
                  <c:v>4.1499999999999999E-11</c:v>
                </c:pt>
                <c:pt idx="2" formatCode="0.00E+00">
                  <c:v>5.0400000000000003E-12</c:v>
                </c:pt>
                <c:pt idx="3">
                  <c:v>4.6699999999999998E-11</c:v>
                </c:pt>
                <c:pt idx="4">
                  <c:v>4.7600000000000002E-11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8-4D17-8C3E-C4C75F9C7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82271"/>
        <c:axId val="781791871"/>
      </c:scatterChart>
      <c:valAx>
        <c:axId val="781782271"/>
        <c:scaling>
          <c:orientation val="minMax"/>
          <c:max val="1.5"/>
          <c:min val="1.150000000000000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Atomic Radius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91871"/>
        <c:crosses val="autoZero"/>
        <c:crossBetween val="midCat"/>
      </c:valAx>
      <c:valAx>
        <c:axId val="781791871"/>
        <c:scaling>
          <c:logBase val="10"/>
          <c:orientation val="minMax"/>
          <c:max val="6.0000000000000031E-10"/>
          <c:min val="6.0000000000000052E-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1782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9819940871155151"/>
          <c:y val="0.13088988273765684"/>
          <c:w val="9.3954776018166278E-2"/>
          <c:h val="0.163588941449821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Interstitials,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layout>
        <c:manualLayout>
          <c:xMode val="edge"/>
          <c:yMode val="edge"/>
          <c:x val="0.3666482479163789"/>
          <c:y val="3.5155001597954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</c:v>
          </c:tx>
          <c:spPr>
            <a:ln w="381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'Tm Normalized'!$D$3:$D$24</c:f>
              <c:numCache>
                <c:formatCode>General</c:formatCode>
                <c:ptCount val="22"/>
                <c:pt idx="0">
                  <c:v>16.475730391900839</c:v>
                </c:pt>
                <c:pt idx="1">
                  <c:v>15.760609591238369</c:v>
                </c:pt>
                <c:pt idx="2">
                  <c:v>15.207417482971369</c:v>
                </c:pt>
                <c:pt idx="3">
                  <c:v>14.85001772618415</c:v>
                </c:pt>
                <c:pt idx="4">
                  <c:v>14.394561150113006</c:v>
                </c:pt>
                <c:pt idx="5">
                  <c:v>13.189798827206982</c:v>
                </c:pt>
                <c:pt idx="6">
                  <c:v>12.993042614462922</c:v>
                </c:pt>
                <c:pt idx="7">
                  <c:v>12.699836017875393</c:v>
                </c:pt>
                <c:pt idx="8">
                  <c:v>12.537264751303713</c:v>
                </c:pt>
                <c:pt idx="9">
                  <c:v>12.375014771820139</c:v>
                </c:pt>
                <c:pt idx="10">
                  <c:v>12.211800931072286</c:v>
                </c:pt>
                <c:pt idx="11">
                  <c:v>10.649638851379077</c:v>
                </c:pt>
                <c:pt idx="12">
                  <c:v>9.8035614336125754</c:v>
                </c:pt>
                <c:pt idx="13">
                  <c:v>9.1858548780578584</c:v>
                </c:pt>
                <c:pt idx="14">
                  <c:v>8.1772061937197158</c:v>
                </c:pt>
                <c:pt idx="15">
                  <c:v>4.8880617581449961</c:v>
                </c:pt>
                <c:pt idx="16">
                  <c:v>4.4006692455180607</c:v>
                </c:pt>
                <c:pt idx="17">
                  <c:v>4.0439120629070526</c:v>
                </c:pt>
                <c:pt idx="18">
                  <c:v>3.9458552436230905</c:v>
                </c:pt>
                <c:pt idx="19">
                  <c:v>3.8148986265191476</c:v>
                </c:pt>
                <c:pt idx="20">
                  <c:v>3.6852271577675184</c:v>
                </c:pt>
                <c:pt idx="21">
                  <c:v>3.5871703384835802</c:v>
                </c:pt>
              </c:numCache>
            </c:numRef>
          </c:xVal>
          <c:yVal>
            <c:numRef>
              <c:f>'Tm Normalized'!$F$3:$F$24</c:f>
              <c:numCache>
                <c:formatCode>0.00E+00</c:formatCode>
                <c:ptCount val="22"/>
                <c:pt idx="0">
                  <c:v>1.0774226385128251E-20</c:v>
                </c:pt>
                <c:pt idx="1">
                  <c:v>5.0859143469241822E-20</c:v>
                </c:pt>
                <c:pt idx="2">
                  <c:v>2.0017956263785208E-19</c:v>
                </c:pt>
                <c:pt idx="3">
                  <c:v>4.1542404774824245E-19</c:v>
                </c:pt>
                <c:pt idx="4">
                  <c:v>1.2430039372138287E-18</c:v>
                </c:pt>
                <c:pt idx="5">
                  <c:v>3.0431406000455089E-17</c:v>
                </c:pt>
                <c:pt idx="6">
                  <c:v>7.600081846794201E-17</c:v>
                </c:pt>
                <c:pt idx="7">
                  <c:v>1.7299268453457001E-16</c:v>
                </c:pt>
                <c:pt idx="8">
                  <c:v>2.4925179342218927E-16</c:v>
                </c:pt>
                <c:pt idx="9">
                  <c:v>3.2764963930248655E-16</c:v>
                </c:pt>
                <c:pt idx="10">
                  <c:v>5.6715080183481228E-16</c:v>
                </c:pt>
                <c:pt idx="11">
                  <c:v>2.8815088737744856E-14</c:v>
                </c:pt>
                <c:pt idx="12">
                  <c:v>2.3552714795324545E-13</c:v>
                </c:pt>
                <c:pt idx="13">
                  <c:v>9.2638869532475005E-13</c:v>
                </c:pt>
                <c:pt idx="14">
                  <c:v>1.0910001547296868E-11</c:v>
                </c:pt>
                <c:pt idx="15">
                  <c:v>7.7117376517698983E-8</c:v>
                </c:pt>
                <c:pt idx="16">
                  <c:v>2.1044797751873878E-7</c:v>
                </c:pt>
                <c:pt idx="17">
                  <c:v>3.6352840484293596E-7</c:v>
                </c:pt>
                <c:pt idx="18">
                  <c:v>5.2414002494555973E-7</c:v>
                </c:pt>
                <c:pt idx="19">
                  <c:v>9.0758099187580112E-7</c:v>
                </c:pt>
                <c:pt idx="20">
                  <c:v>1.0888469850620415E-6</c:v>
                </c:pt>
                <c:pt idx="21">
                  <c:v>1.5699138727794682E-6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0-4D92-93B4-A28529D4AC9C}"/>
            </c:ext>
          </c:extLst>
        </c:ser>
        <c:ser>
          <c:idx val="1"/>
          <c:order val="1"/>
          <c:tx>
            <c:v>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'Tm Normalized'!$K$3:$K$26</c:f>
              <c:numCache>
                <c:formatCode>General</c:formatCode>
                <c:ptCount val="24"/>
                <c:pt idx="0">
                  <c:v>3.7252137023593389E-2</c:v>
                </c:pt>
                <c:pt idx="1">
                  <c:v>5.66729101633393E-2</c:v>
                </c:pt>
                <c:pt idx="2">
                  <c:v>6.2048752268602472E-2</c:v>
                </c:pt>
                <c:pt idx="3">
                  <c:v>7.283705353901973E-2</c:v>
                </c:pt>
                <c:pt idx="4">
                  <c:v>8.2013059891107035E-2</c:v>
                </c:pt>
                <c:pt idx="5">
                  <c:v>8.7950745009073988E-2</c:v>
                </c:pt>
                <c:pt idx="6">
                  <c:v>9.3897584392014122E-2</c:v>
                </c:pt>
                <c:pt idx="7">
                  <c:v>0.1051882259528127</c:v>
                </c:pt>
                <c:pt idx="8">
                  <c:v>0.1342644600725951</c:v>
                </c:pt>
                <c:pt idx="9">
                  <c:v>0.14562833575317541</c:v>
                </c:pt>
                <c:pt idx="10">
                  <c:v>0.14940103720508105</c:v>
                </c:pt>
                <c:pt idx="11">
                  <c:v>0.17094102268602537</c:v>
                </c:pt>
                <c:pt idx="12">
                  <c:v>0.1774176651542648</c:v>
                </c:pt>
                <c:pt idx="13">
                  <c:v>0.19035721869328454</c:v>
                </c:pt>
                <c:pt idx="14">
                  <c:v>0.19630863520871131</c:v>
                </c:pt>
                <c:pt idx="15">
                  <c:v>0.20008591379310287</c:v>
                </c:pt>
                <c:pt idx="16">
                  <c:v>0.20492737568058031</c:v>
                </c:pt>
                <c:pt idx="17">
                  <c:v>0.21303919872958244</c:v>
                </c:pt>
                <c:pt idx="18">
                  <c:v>0.21623632577132465</c:v>
                </c:pt>
                <c:pt idx="19">
                  <c:v>0.22325650272232259</c:v>
                </c:pt>
                <c:pt idx="20">
                  <c:v>0.24375519056261341</c:v>
                </c:pt>
                <c:pt idx="21">
                  <c:v>0.25348388566243168</c:v>
                </c:pt>
                <c:pt idx="22">
                  <c:v>0.2642630326678761</c:v>
                </c:pt>
                <c:pt idx="23">
                  <c:v>0.27238400998185075</c:v>
                </c:pt>
              </c:numCache>
            </c:numRef>
          </c:xVal>
          <c:yVal>
            <c:numRef>
              <c:f>'Tm Normalized'!$O$3:$O$26</c:f>
              <c:numCache>
                <c:formatCode>General</c:formatCode>
                <c:ptCount val="24"/>
                <c:pt idx="0">
                  <c:v>2.9792955786706154E-5</c:v>
                </c:pt>
                <c:pt idx="1">
                  <c:v>2.0128168128736311E-6</c:v>
                </c:pt>
                <c:pt idx="2">
                  <c:v>6.7354417058409213E-7</c:v>
                </c:pt>
                <c:pt idx="3">
                  <c:v>1.4793368568567264E-7</c:v>
                </c:pt>
                <c:pt idx="4">
                  <c:v>4.5504750870320969E-8</c:v>
                </c:pt>
                <c:pt idx="5">
                  <c:v>2.132589364324455E-8</c:v>
                </c:pt>
                <c:pt idx="6">
                  <c:v>1.1827748210529163E-8</c:v>
                </c:pt>
                <c:pt idx="7">
                  <c:v>1.21745681322232E-9</c:v>
                </c:pt>
                <c:pt idx="8">
                  <c:v>7.7825792290597036E-12</c:v>
                </c:pt>
                <c:pt idx="9">
                  <c:v>3.0819792807779286E-12</c:v>
                </c:pt>
                <c:pt idx="10">
                  <c:v>1.7093246141484077E-12</c:v>
                </c:pt>
                <c:pt idx="11">
                  <c:v>4.2038692790253635E-14</c:v>
                </c:pt>
                <c:pt idx="12">
                  <c:v>1.8110378793522653E-14</c:v>
                </c:pt>
                <c:pt idx="13">
                  <c:v>2.6107644800398728E-15</c:v>
                </c:pt>
                <c:pt idx="14">
                  <c:v>1.5751963399307874E-15</c:v>
                </c:pt>
                <c:pt idx="15">
                  <c:v>9.5038963809298705E-16</c:v>
                </c:pt>
                <c:pt idx="16">
                  <c:v>3.76363810384592E-16</c:v>
                </c:pt>
                <c:pt idx="17">
                  <c:v>1.7638366187964328E-16</c:v>
                </c:pt>
                <c:pt idx="18">
                  <c:v>5.4256030695282292E-17</c:v>
                </c:pt>
                <c:pt idx="19">
                  <c:v>2.3373639913759704E-17</c:v>
                </c:pt>
                <c:pt idx="20">
                  <c:v>1.3343589553081312E-18</c:v>
                </c:pt>
                <c:pt idx="21">
                  <c:v>4.8574313551333974E-19</c:v>
                </c:pt>
                <c:pt idx="22">
                  <c:v>9.0149502415294671E-20</c:v>
                </c:pt>
                <c:pt idx="23">
                  <c:v>4.9998637042361658E-20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F0-4D92-93B4-A28529D4AC9C}"/>
            </c:ext>
          </c:extLst>
        </c:ser>
        <c:ser>
          <c:idx val="2"/>
          <c:order val="2"/>
          <c:tx>
            <c:v>H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92D050"/>
              </a:solidFill>
              <a:ln w="9525">
                <a:noFill/>
              </a:ln>
              <a:effectLst/>
            </c:spPr>
          </c:marker>
          <c:xVal>
            <c:numRef>
              <c:f>'Tm Normalized'!$S$3:$S$20</c:f>
              <c:numCache>
                <c:formatCode>General</c:formatCode>
                <c:ptCount val="18"/>
                <c:pt idx="0">
                  <c:v>3.762689748068513E-2</c:v>
                </c:pt>
                <c:pt idx="1">
                  <c:v>3.9264895666778515E-2</c:v>
                </c:pt>
                <c:pt idx="2">
                  <c:v>3.9715361639234004E-2</c:v>
                </c:pt>
                <c:pt idx="3">
                  <c:v>4.0275667517635172E-2</c:v>
                </c:pt>
                <c:pt idx="4">
                  <c:v>4.0855456567013747E-2</c:v>
                </c:pt>
                <c:pt idx="5">
                  <c:v>4.1845145179710996E-2</c:v>
                </c:pt>
                <c:pt idx="6">
                  <c:v>4.3138281827342903E-2</c:v>
                </c:pt>
                <c:pt idx="7">
                  <c:v>4.3136964124957933E-2</c:v>
                </c:pt>
                <c:pt idx="8">
                  <c:v>4.4516316157205145E-2</c:v>
                </c:pt>
                <c:pt idx="9">
                  <c:v>4.4536458179375168E-2</c:v>
                </c:pt>
                <c:pt idx="10">
                  <c:v>4.5375646355391229E-2</c:v>
                </c:pt>
                <c:pt idx="11">
                  <c:v>4.5761733154181999E-2</c:v>
                </c:pt>
                <c:pt idx="12">
                  <c:v>4.645239744709434E-2</c:v>
                </c:pt>
                <c:pt idx="13">
                  <c:v>4.6990208263352304E-2</c:v>
                </c:pt>
                <c:pt idx="14">
                  <c:v>4.7549572925764089E-2</c:v>
                </c:pt>
                <c:pt idx="15">
                  <c:v>4.9336753846153818E-2</c:v>
                </c:pt>
                <c:pt idx="16">
                  <c:v>4.9484618878065059E-2</c:v>
                </c:pt>
                <c:pt idx="17">
                  <c:v>1.3056849953401678E-2</c:v>
                </c:pt>
              </c:numCache>
            </c:numRef>
          </c:xVal>
          <c:yVal>
            <c:numRef>
              <c:f>'Tm Normalized'!$U$3:$U$20</c:f>
              <c:numCache>
                <c:formatCode>General</c:formatCode>
                <c:ptCount val="18"/>
                <c:pt idx="0">
                  <c:v>3.1664483244147105E-5</c:v>
                </c:pt>
                <c:pt idx="1">
                  <c:v>3.1442721867757303E-5</c:v>
                </c:pt>
                <c:pt idx="2">
                  <c:v>2.6749637842622403E-5</c:v>
                </c:pt>
                <c:pt idx="3">
                  <c:v>2.6562297456860501E-5</c:v>
                </c:pt>
                <c:pt idx="4">
                  <c:v>2.2597656787710803E-5</c:v>
                </c:pt>
                <c:pt idx="5">
                  <c:v>1.9772895169062902E-5</c:v>
                </c:pt>
                <c:pt idx="6">
                  <c:v>1.9634416217295603E-5</c:v>
                </c:pt>
                <c:pt idx="7">
                  <c:v>1.7794516920711001E-5</c:v>
                </c:pt>
                <c:pt idx="8">
                  <c:v>1.7669893489022501E-5</c:v>
                </c:pt>
                <c:pt idx="9">
                  <c:v>1.5901931203758701E-5</c:v>
                </c:pt>
                <c:pt idx="10">
                  <c:v>1.4310862494229101E-5</c:v>
                </c:pt>
                <c:pt idx="11">
                  <c:v>1.2434272866423401E-5</c:v>
                </c:pt>
                <c:pt idx="12">
                  <c:v>1.3339609035017101E-5</c:v>
                </c:pt>
                <c:pt idx="13">
                  <c:v>1.2347189763124201E-5</c:v>
                </c:pt>
                <c:pt idx="14">
                  <c:v>1.14286029407911E-5</c:v>
                </c:pt>
                <c:pt idx="15">
                  <c:v>1.0000000000000001E-5</c:v>
                </c:pt>
                <c:pt idx="16">
                  <c:v>7.9859637708067599E-6</c:v>
                </c:pt>
                <c:pt idx="17" formatCode="0.00E+00">
                  <c:v>2.7E-4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F0-4D92-93B4-A28529D4A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21311"/>
        <c:axId val="1247618911"/>
      </c:scatterChart>
      <c:valAx>
        <c:axId val="1247621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sz="11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618911"/>
        <c:crosses val="autoZero"/>
        <c:crossBetween val="midCat"/>
      </c:valAx>
      <c:valAx>
        <c:axId val="12476189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05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47621311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620473975840741"/>
          <c:y val="0.1284189308551196"/>
          <c:w val="5.8595416800970052E-2"/>
          <c:h val="0.1678690331493798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Substitutionals, </a:t>
            </a:r>
            <a:r>
              <a:rPr lang="el-GR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</a:t>
            </a: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-Fe</a:t>
            </a:r>
          </a:p>
        </c:rich>
      </c:tx>
      <c:layout>
        <c:manualLayout>
          <c:xMode val="edge"/>
          <c:yMode val="edge"/>
          <c:x val="0.35238791423001947"/>
          <c:y val="3.5222542427153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0.70000000000000007"/>
            <c:backward val="0.5"/>
            <c:dispRSqr val="0"/>
            <c:dispEq val="0"/>
          </c:trendline>
          <c:xVal>
            <c:numRef>
              <c:f>'Tm Normalized'!$D$54:$D$59</c:f>
              <c:numCache>
                <c:formatCode>General</c:formatCode>
                <c:ptCount val="6"/>
                <c:pt idx="0">
                  <c:v>1.2938671209540034</c:v>
                </c:pt>
                <c:pt idx="1">
                  <c:v>1.3286101635616199</c:v>
                </c:pt>
                <c:pt idx="2">
                  <c:v>1.3651478385908151</c:v>
                </c:pt>
                <c:pt idx="3">
                  <c:v>1.3651478385908151</c:v>
                </c:pt>
                <c:pt idx="4">
                  <c:v>1.4038817005545285</c:v>
                </c:pt>
                <c:pt idx="5">
                  <c:v>1.4448777703795301</c:v>
                </c:pt>
              </c:numCache>
            </c:numRef>
          </c:xVal>
          <c:yVal>
            <c:numRef>
              <c:f>'Tm Normalized'!$F$54:$F$59</c:f>
              <c:numCache>
                <c:formatCode>General</c:formatCode>
                <c:ptCount val="6"/>
                <c:pt idx="0">
                  <c:v>5.0400000000000003E-12</c:v>
                </c:pt>
                <c:pt idx="1">
                  <c:v>2.5500000000000002E-12</c:v>
                </c:pt>
                <c:pt idx="2">
                  <c:v>1.23E-12</c:v>
                </c:pt>
                <c:pt idx="3">
                  <c:v>1.18E-12</c:v>
                </c:pt>
                <c:pt idx="4">
                  <c:v>5.6999999999999999E-13</c:v>
                </c:pt>
                <c:pt idx="5">
                  <c:v>2.07E-13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6-4D99-B15E-6D7EB204B36C}"/>
            </c:ext>
          </c:extLst>
        </c:ser>
        <c:ser>
          <c:idx val="1"/>
          <c:order val="1"/>
          <c:tx>
            <c:v>Ni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0.5"/>
            <c:backward val="0.5"/>
            <c:dispRSqr val="0"/>
            <c:dispEq val="0"/>
          </c:trendline>
          <c:xVal>
            <c:numRef>
              <c:f>'Tm Normalized'!$J$58:$J$79</c:f>
              <c:numCache>
                <c:formatCode>General</c:formatCode>
                <c:ptCount val="22"/>
                <c:pt idx="0">
                  <c:v>1.4731457800511509</c:v>
                </c:pt>
                <c:pt idx="1">
                  <c:v>1.4731457800511509</c:v>
                </c:pt>
                <c:pt idx="2">
                  <c:v>1.5118110236220472</c:v>
                </c:pt>
                <c:pt idx="3">
                  <c:v>1.5118110236220472</c:v>
                </c:pt>
                <c:pt idx="4">
                  <c:v>1.5525606469002695</c:v>
                </c:pt>
                <c:pt idx="5">
                  <c:v>1.5525606469002695</c:v>
                </c:pt>
                <c:pt idx="6">
                  <c:v>1.5955678670360112</c:v>
                </c:pt>
                <c:pt idx="7">
                  <c:v>1.5955678670360112</c:v>
                </c:pt>
                <c:pt idx="8">
                  <c:v>1.641025641025641</c:v>
                </c:pt>
                <c:pt idx="9">
                  <c:v>1.641025641025641</c:v>
                </c:pt>
                <c:pt idx="10">
                  <c:v>1.641025641025641</c:v>
                </c:pt>
                <c:pt idx="11">
                  <c:v>1.641025641025641</c:v>
                </c:pt>
                <c:pt idx="12">
                  <c:v>1.6891495601173021</c:v>
                </c:pt>
                <c:pt idx="13">
                  <c:v>1.6891495601173021</c:v>
                </c:pt>
                <c:pt idx="14">
                  <c:v>1.6891495601173021</c:v>
                </c:pt>
                <c:pt idx="15">
                  <c:v>1.6891495601173021</c:v>
                </c:pt>
                <c:pt idx="16">
                  <c:v>1.7578840284842319</c:v>
                </c:pt>
                <c:pt idx="17">
                  <c:v>1.7578840284842319</c:v>
                </c:pt>
                <c:pt idx="18">
                  <c:v>1.8132214060860441</c:v>
                </c:pt>
                <c:pt idx="19">
                  <c:v>1.8132214060860441</c:v>
                </c:pt>
                <c:pt idx="20">
                  <c:v>1.9793814432989691</c:v>
                </c:pt>
                <c:pt idx="21">
                  <c:v>1.9793814432989691</c:v>
                </c:pt>
              </c:numCache>
            </c:numRef>
          </c:xVal>
          <c:yVal>
            <c:numRef>
              <c:f>'Tm Normalized'!$K$58:$K$79</c:f>
              <c:numCache>
                <c:formatCode>0.00E+00</c:formatCode>
                <c:ptCount val="22"/>
                <c:pt idx="0">
                  <c:v>5.2300000000000003E-11</c:v>
                </c:pt>
                <c:pt idx="1">
                  <c:v>4.1499999999999999E-11</c:v>
                </c:pt>
                <c:pt idx="2">
                  <c:v>2.7E-11</c:v>
                </c:pt>
                <c:pt idx="3">
                  <c:v>2.7299999999999999E-11</c:v>
                </c:pt>
                <c:pt idx="4">
                  <c:v>1.31E-11</c:v>
                </c:pt>
                <c:pt idx="5">
                  <c:v>1.24E-11</c:v>
                </c:pt>
                <c:pt idx="6">
                  <c:v>8.5600000000000007E-12</c:v>
                </c:pt>
                <c:pt idx="7">
                  <c:v>5.2599999999999998E-12</c:v>
                </c:pt>
                <c:pt idx="8">
                  <c:v>1.4100000000000001E-12</c:v>
                </c:pt>
                <c:pt idx="9">
                  <c:v>1.0700000000000001E-12</c:v>
                </c:pt>
                <c:pt idx="10">
                  <c:v>1.9199999999999999E-12</c:v>
                </c:pt>
                <c:pt idx="11">
                  <c:v>1.8300000000000001E-12</c:v>
                </c:pt>
                <c:pt idx="12">
                  <c:v>4.1300000000000001E-13</c:v>
                </c:pt>
                <c:pt idx="13">
                  <c:v>3.7199999999999998E-13</c:v>
                </c:pt>
                <c:pt idx="14">
                  <c:v>7.4099999999999997E-13</c:v>
                </c:pt>
                <c:pt idx="15">
                  <c:v>5.5499999999999996E-13</c:v>
                </c:pt>
                <c:pt idx="16">
                  <c:v>2.3999999999999999E-13</c:v>
                </c:pt>
                <c:pt idx="17">
                  <c:v>1.4999999999999999E-13</c:v>
                </c:pt>
                <c:pt idx="18">
                  <c:v>6.2999999999999997E-14</c:v>
                </c:pt>
                <c:pt idx="19">
                  <c:v>3.5000000000000002E-14</c:v>
                </c:pt>
                <c:pt idx="20">
                  <c:v>3.6000000000000001E-15</c:v>
                </c:pt>
                <c:pt idx="21">
                  <c:v>2.0999999999999998E-15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6-4D99-B15E-6D7EB204B36C}"/>
            </c:ext>
          </c:extLst>
        </c:ser>
        <c:ser>
          <c:idx val="2"/>
          <c:order val="2"/>
          <c:tx>
            <c:v>Nb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forward val="0.1"/>
            <c:backward val="0.1"/>
            <c:dispRSqr val="0"/>
            <c:dispEq val="0"/>
          </c:trendline>
          <c:xVal>
            <c:numRef>
              <c:f>'Tm Normalized'!$M$54:$M$73</c:f>
              <c:numCache>
                <c:formatCode>General</c:formatCode>
                <c:ptCount val="20"/>
                <c:pt idx="0">
                  <c:v>2.3645743766122096</c:v>
                </c:pt>
                <c:pt idx="1">
                  <c:v>2.3954703832752613</c:v>
                </c:pt>
                <c:pt idx="2">
                  <c:v>2.4271844660194173</c:v>
                </c:pt>
                <c:pt idx="3">
                  <c:v>2.4487978628673197</c:v>
                </c:pt>
                <c:pt idx="4">
                  <c:v>2.4487978628673197</c:v>
                </c:pt>
                <c:pt idx="5">
                  <c:v>2.4932003626473254</c:v>
                </c:pt>
                <c:pt idx="6">
                  <c:v>2.4932003626473254</c:v>
                </c:pt>
                <c:pt idx="7">
                  <c:v>2.5392428439519854</c:v>
                </c:pt>
                <c:pt idx="8">
                  <c:v>2.5629077353215286</c:v>
                </c:pt>
                <c:pt idx="9">
                  <c:v>2.6115859449192782</c:v>
                </c:pt>
                <c:pt idx="10">
                  <c:v>2.6621490803484997</c:v>
                </c:pt>
                <c:pt idx="11">
                  <c:v>2.7693856998992952</c:v>
                </c:pt>
                <c:pt idx="12">
                  <c:v>2.7975584944048828</c:v>
                </c:pt>
                <c:pt idx="13">
                  <c:v>2.8263103802672149</c:v>
                </c:pt>
                <c:pt idx="14">
                  <c:v>2.9794149512459374</c:v>
                </c:pt>
                <c:pt idx="15">
                  <c:v>3.0968468468468466</c:v>
                </c:pt>
                <c:pt idx="16">
                  <c:v>3.1500572737686139</c:v>
                </c:pt>
                <c:pt idx="17">
                  <c:v>3.2051282051282053</c:v>
                </c:pt>
                <c:pt idx="18">
                  <c:v>3.262158956109134</c:v>
                </c:pt>
                <c:pt idx="19">
                  <c:v>3.3414337788578372</c:v>
                </c:pt>
              </c:numCache>
            </c:numRef>
          </c:xVal>
          <c:yVal>
            <c:numRef>
              <c:f>'Tm Normalized'!$Q$54:$Q$73</c:f>
              <c:numCache>
                <c:formatCode>0.00E+00</c:formatCode>
                <c:ptCount val="20"/>
                <c:pt idx="0">
                  <c:v>4.0400000000000004E-11</c:v>
                </c:pt>
                <c:pt idx="1">
                  <c:v>3.6099999999999997E-11</c:v>
                </c:pt>
                <c:pt idx="2">
                  <c:v>2.07E-11</c:v>
                </c:pt>
                <c:pt idx="3">
                  <c:v>1.5E-11</c:v>
                </c:pt>
                <c:pt idx="4">
                  <c:v>1.56E-11</c:v>
                </c:pt>
                <c:pt idx="5">
                  <c:v>9.7799999999999991E-12</c:v>
                </c:pt>
                <c:pt idx="6">
                  <c:v>1.0000000000000001E-11</c:v>
                </c:pt>
                <c:pt idx="7">
                  <c:v>5.4199999999999999E-12</c:v>
                </c:pt>
                <c:pt idx="8">
                  <c:v>3.8600000000000001E-12</c:v>
                </c:pt>
                <c:pt idx="9">
                  <c:v>1.5299999999999999E-12</c:v>
                </c:pt>
                <c:pt idx="10">
                  <c:v>5.4799999999999999E-13</c:v>
                </c:pt>
                <c:pt idx="11">
                  <c:v>1.5799999999999998E-13</c:v>
                </c:pt>
                <c:pt idx="12">
                  <c:v>1.43E-13</c:v>
                </c:pt>
                <c:pt idx="13">
                  <c:v>7.290000000000001E-14</c:v>
                </c:pt>
                <c:pt idx="14">
                  <c:v>5.0399999999999999E-15</c:v>
                </c:pt>
                <c:pt idx="15">
                  <c:v>8.5799999999999994E-16</c:v>
                </c:pt>
                <c:pt idx="16">
                  <c:v>4.0500000000000002E-16</c:v>
                </c:pt>
                <c:pt idx="17">
                  <c:v>1.76E-16</c:v>
                </c:pt>
                <c:pt idx="18">
                  <c:v>8.8700000000000004E-17</c:v>
                </c:pt>
                <c:pt idx="19">
                  <c:v>3.3699999999999998E-17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26-4D99-B15E-6D7EB204B36C}"/>
            </c:ext>
          </c:extLst>
        </c:ser>
        <c:ser>
          <c:idx val="3"/>
          <c:order val="3"/>
          <c:tx>
            <c:v>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forward val="0.1"/>
            <c:backward val="0.1"/>
            <c:dispRSqr val="0"/>
            <c:dispEq val="0"/>
          </c:trendline>
          <c:xVal>
            <c:numRef>
              <c:f>'Tm Normalized'!$S$54:$S$75</c:f>
              <c:numCache>
                <c:formatCode>General</c:formatCode>
                <c:ptCount val="22"/>
                <c:pt idx="0">
                  <c:v>2.4901117798796215</c:v>
                </c:pt>
                <c:pt idx="1">
                  <c:v>2.4901117798796215</c:v>
                </c:pt>
                <c:pt idx="2">
                  <c:v>2.5336832895888013</c:v>
                </c:pt>
                <c:pt idx="3">
                  <c:v>2.5788067675868209</c:v>
                </c:pt>
                <c:pt idx="4">
                  <c:v>2.6255666364460564</c:v>
                </c:pt>
                <c:pt idx="5">
                  <c:v>2.6255666364460564</c:v>
                </c:pt>
                <c:pt idx="6">
                  <c:v>2.6617647058823528</c:v>
                </c:pt>
                <c:pt idx="7">
                  <c:v>2.6989748369058715</c:v>
                </c:pt>
                <c:pt idx="8">
                  <c:v>2.7243650047036687</c:v>
                </c:pt>
                <c:pt idx="9">
                  <c:v>2.7580952380952382</c:v>
                </c:pt>
                <c:pt idx="10">
                  <c:v>2.7819404418828051</c:v>
                </c:pt>
                <c:pt idx="11">
                  <c:v>2.8034849951597289</c:v>
                </c:pt>
                <c:pt idx="12">
                  <c:v>2.8308895405669601</c:v>
                </c:pt>
                <c:pt idx="13">
                  <c:v>2.916414904330312</c:v>
                </c:pt>
                <c:pt idx="14">
                  <c:v>2.9763617677286742</c:v>
                </c:pt>
                <c:pt idx="15">
                  <c:v>3.0452155625657205</c:v>
                </c:pt>
                <c:pt idx="16">
                  <c:v>3.1375947995666307</c:v>
                </c:pt>
                <c:pt idx="17">
                  <c:v>3.2142064372918977</c:v>
                </c:pt>
                <c:pt idx="18">
                  <c:v>3.2871736662883086</c:v>
                </c:pt>
                <c:pt idx="19">
                  <c:v>3.3135011441647597</c:v>
                </c:pt>
                <c:pt idx="20">
                  <c:v>3.3950762016412663</c:v>
                </c:pt>
                <c:pt idx="21">
                  <c:v>3.4765906362545018</c:v>
                </c:pt>
              </c:numCache>
            </c:numRef>
          </c:xVal>
          <c:yVal>
            <c:numRef>
              <c:f>'Tm Normalized'!$W$54:$W$75</c:f>
              <c:numCache>
                <c:formatCode>0.00E+00</c:formatCode>
                <c:ptCount val="22"/>
                <c:pt idx="0">
                  <c:v>2.7500000000000002E-11</c:v>
                </c:pt>
                <c:pt idx="1">
                  <c:v>2.9699999999999998E-11</c:v>
                </c:pt>
                <c:pt idx="2">
                  <c:v>1.64E-11</c:v>
                </c:pt>
                <c:pt idx="3">
                  <c:v>1.1900000000000001E-11</c:v>
                </c:pt>
                <c:pt idx="4">
                  <c:v>6.5700000000000005E-12</c:v>
                </c:pt>
                <c:pt idx="5">
                  <c:v>6.74E-12</c:v>
                </c:pt>
                <c:pt idx="6">
                  <c:v>3.9499999999999999E-12</c:v>
                </c:pt>
                <c:pt idx="7">
                  <c:v>2.8699999999999997E-12</c:v>
                </c:pt>
                <c:pt idx="8">
                  <c:v>1.8400000000000002E-12</c:v>
                </c:pt>
                <c:pt idx="9">
                  <c:v>1.2600000000000001E-12</c:v>
                </c:pt>
                <c:pt idx="10">
                  <c:v>8.8100000000000008E-13</c:v>
                </c:pt>
                <c:pt idx="11">
                  <c:v>5.3700000000000003E-13</c:v>
                </c:pt>
                <c:pt idx="12">
                  <c:v>3.7400000000000002E-13</c:v>
                </c:pt>
                <c:pt idx="13">
                  <c:v>9.0700000000000007E-14</c:v>
                </c:pt>
                <c:pt idx="14">
                  <c:v>4.7800000000000002E-14</c:v>
                </c:pt>
                <c:pt idx="15">
                  <c:v>1.23E-14</c:v>
                </c:pt>
                <c:pt idx="16">
                  <c:v>3.4599999999999998E-15</c:v>
                </c:pt>
                <c:pt idx="17">
                  <c:v>1.37E-15</c:v>
                </c:pt>
                <c:pt idx="18">
                  <c:v>4.8700000000000002E-16</c:v>
                </c:pt>
                <c:pt idx="19">
                  <c:v>3.8700000000000003E-16</c:v>
                </c:pt>
                <c:pt idx="20">
                  <c:v>1.1899999999999999E-16</c:v>
                </c:pt>
                <c:pt idx="21">
                  <c:v>4.7499999999999995E-17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26-4D99-B15E-6D7EB204B36C}"/>
            </c:ext>
          </c:extLst>
        </c:ser>
        <c:ser>
          <c:idx val="4"/>
          <c:order val="4"/>
          <c:tx>
            <c:v>Cr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forward val="0.5"/>
            <c:backward val="0.1"/>
            <c:dispRSqr val="0"/>
            <c:dispEq val="0"/>
          </c:trendline>
          <c:xVal>
            <c:numRef>
              <c:f>'Tm Normalized'!$Y$54:$Y$83</c:f>
              <c:numCache>
                <c:formatCode>General</c:formatCode>
                <c:ptCount val="30"/>
                <c:pt idx="0">
                  <c:v>1.8568994889267463</c:v>
                </c:pt>
                <c:pt idx="1">
                  <c:v>1.8616567036720753</c:v>
                </c:pt>
                <c:pt idx="2">
                  <c:v>1.8874458874458875</c:v>
                </c:pt>
                <c:pt idx="3">
                  <c:v>1.8923611111111112</c:v>
                </c:pt>
                <c:pt idx="4">
                  <c:v>1.8973020017406441</c:v>
                </c:pt>
                <c:pt idx="5">
                  <c:v>1.9106047326906224</c:v>
                </c:pt>
                <c:pt idx="6">
                  <c:v>1.9377777777777778</c:v>
                </c:pt>
                <c:pt idx="7">
                  <c:v>1.9639639639639639</c:v>
                </c:pt>
                <c:pt idx="8">
                  <c:v>1.9692863595302619</c:v>
                </c:pt>
                <c:pt idx="9">
                  <c:v>1.9908675799086757</c:v>
                </c:pt>
                <c:pt idx="10">
                  <c:v>2.0055197792088317</c:v>
                </c:pt>
                <c:pt idx="11">
                  <c:v>2.0297951582867784</c:v>
                </c:pt>
                <c:pt idx="12">
                  <c:v>2.0527306967984935</c:v>
                </c:pt>
                <c:pt idx="13">
                  <c:v>2.066350710900474</c:v>
                </c:pt>
                <c:pt idx="14">
                  <c:v>2.0781696854146805</c:v>
                </c:pt>
                <c:pt idx="15">
                  <c:v>2.1022179363548696</c:v>
                </c:pt>
                <c:pt idx="16">
                  <c:v>2.1083172147001936</c:v>
                </c:pt>
                <c:pt idx="17">
                  <c:v>2.1247563352826511</c:v>
                </c:pt>
                <c:pt idx="18">
                  <c:v>2.1351616062683645</c:v>
                </c:pt>
                <c:pt idx="19">
                  <c:v>2.1435594886922322</c:v>
                </c:pt>
                <c:pt idx="20">
                  <c:v>2.1953675730110773</c:v>
                </c:pt>
                <c:pt idx="21">
                  <c:v>2.238193018480493</c:v>
                </c:pt>
                <c:pt idx="22">
                  <c:v>2.2520661157024793</c:v>
                </c:pt>
                <c:pt idx="23">
                  <c:v>2.3093220338983049</c:v>
                </c:pt>
                <c:pt idx="24">
                  <c:v>2.3240938166311302</c:v>
                </c:pt>
                <c:pt idx="25">
                  <c:v>2.3491379310344827</c:v>
                </c:pt>
                <c:pt idx="26">
                  <c:v>2.3491379310344827</c:v>
                </c:pt>
                <c:pt idx="27">
                  <c:v>2.3516720604099244</c:v>
                </c:pt>
                <c:pt idx="28">
                  <c:v>2.4384787472035794</c:v>
                </c:pt>
                <c:pt idx="29">
                  <c:v>2.463276836158192</c:v>
                </c:pt>
              </c:numCache>
            </c:numRef>
          </c:xVal>
          <c:yVal>
            <c:numRef>
              <c:f>'Tm Normalized'!$AC$54:$AC$83</c:f>
              <c:numCache>
                <c:formatCode>0.00E+00</c:formatCode>
                <c:ptCount val="30"/>
                <c:pt idx="0">
                  <c:v>4.6699999999999998E-11</c:v>
                </c:pt>
                <c:pt idx="1">
                  <c:v>4.7600000000000002E-11</c:v>
                </c:pt>
                <c:pt idx="2">
                  <c:v>3.3100000000000001E-11</c:v>
                </c:pt>
                <c:pt idx="3">
                  <c:v>2.6099999999999999E-11</c:v>
                </c:pt>
                <c:pt idx="4">
                  <c:v>2.35E-11</c:v>
                </c:pt>
                <c:pt idx="5">
                  <c:v>2.0799999999999999E-11</c:v>
                </c:pt>
                <c:pt idx="6">
                  <c:v>1.3899999999999999E-11</c:v>
                </c:pt>
                <c:pt idx="7">
                  <c:v>1.1399999999999999E-11</c:v>
                </c:pt>
                <c:pt idx="8">
                  <c:v>9.1999999999999996E-12</c:v>
                </c:pt>
                <c:pt idx="9">
                  <c:v>6.4699999999999997E-12</c:v>
                </c:pt>
                <c:pt idx="10">
                  <c:v>4.1700000000000002E-12</c:v>
                </c:pt>
                <c:pt idx="11">
                  <c:v>3.5600000000000002E-12</c:v>
                </c:pt>
                <c:pt idx="12">
                  <c:v>2.9299999999999998E-12</c:v>
                </c:pt>
                <c:pt idx="13">
                  <c:v>2.08E-12</c:v>
                </c:pt>
                <c:pt idx="14">
                  <c:v>1.9E-12</c:v>
                </c:pt>
                <c:pt idx="15">
                  <c:v>8.0799999999999999E-13</c:v>
                </c:pt>
                <c:pt idx="16">
                  <c:v>8.6199999999999996E-13</c:v>
                </c:pt>
                <c:pt idx="17">
                  <c:v>5.0499999999999997E-13</c:v>
                </c:pt>
                <c:pt idx="18">
                  <c:v>3.5300000000000001E-13</c:v>
                </c:pt>
                <c:pt idx="19">
                  <c:v>2.8400000000000005E-13</c:v>
                </c:pt>
                <c:pt idx="20">
                  <c:v>1.1999999999999999E-13</c:v>
                </c:pt>
                <c:pt idx="21">
                  <c:v>3.3499999999999996E-14</c:v>
                </c:pt>
                <c:pt idx="22">
                  <c:v>3.32E-14</c:v>
                </c:pt>
                <c:pt idx="23">
                  <c:v>1.23E-14</c:v>
                </c:pt>
                <c:pt idx="24">
                  <c:v>6.6800000000000005E-15</c:v>
                </c:pt>
                <c:pt idx="25">
                  <c:v>4.32E-15</c:v>
                </c:pt>
                <c:pt idx="26">
                  <c:v>3.7499999999999998E-15</c:v>
                </c:pt>
                <c:pt idx="27">
                  <c:v>3.47E-15</c:v>
                </c:pt>
                <c:pt idx="28">
                  <c:v>8.68E-16</c:v>
                </c:pt>
                <c:pt idx="29">
                  <c:v>3.7200000000000003E-16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26-4D99-B15E-6D7EB204B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790256"/>
        <c:axId val="1687794096"/>
      </c:scatterChart>
      <c:valAx>
        <c:axId val="168779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sz="1100" baseline="-25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7794096"/>
        <c:crosses val="autoZero"/>
        <c:crossBetween val="midCat"/>
      </c:valAx>
      <c:valAx>
        <c:axId val="1687794096"/>
        <c:scaling>
          <c:logBase val="10"/>
          <c:orientation val="minMax"/>
          <c:max val="1.0000000000000006E-10"/>
          <c:min val="1.000000000000001E-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 [cm</a:t>
                </a:r>
                <a:r>
                  <a:rPr lang="en-US" sz="1100" baseline="30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877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88073456278491502"/>
          <c:y val="0.13130696559183705"/>
          <c:w val="7.5651947015395002E-2"/>
          <c:h val="0.2803192468376611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22860</xdr:rowOff>
    </xdr:from>
    <xdr:to>
      <xdr:col>7</xdr:col>
      <xdr:colOff>861060</xdr:colOff>
      <xdr:row>51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8C266A-BA74-D1E2-07D1-3F3518811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3540</xdr:colOff>
      <xdr:row>32</xdr:row>
      <xdr:rowOff>182301</xdr:rowOff>
    </xdr:from>
    <xdr:to>
      <xdr:col>8</xdr:col>
      <xdr:colOff>670560</xdr:colOff>
      <xdr:row>55</xdr:row>
      <xdr:rowOff>106681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C38B64-6C8F-D9F0-1688-2CAAFE001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28</xdr:row>
      <xdr:rowOff>179070</xdr:rowOff>
    </xdr:from>
    <xdr:to>
      <xdr:col>9</xdr:col>
      <xdr:colOff>594360</xdr:colOff>
      <xdr:row>53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DA67E-509B-CFFD-6CDE-3A475EB75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</xdr:colOff>
      <xdr:row>33</xdr:row>
      <xdr:rowOff>152400</xdr:rowOff>
    </xdr:from>
    <xdr:to>
      <xdr:col>9</xdr:col>
      <xdr:colOff>362712</xdr:colOff>
      <xdr:row>50</xdr:row>
      <xdr:rowOff>83820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FD7178FF-29C3-43BA-50FF-8B5FE5BBF2F1}"/>
            </a:ext>
          </a:extLst>
        </xdr:cNvPr>
        <xdr:cNvSpPr/>
      </xdr:nvSpPr>
      <xdr:spPr>
        <a:xfrm flipH="1" flipV="1">
          <a:off x="1866900" y="6195060"/>
          <a:ext cx="5376672" cy="3040380"/>
        </a:xfrm>
        <a:prstGeom prst="rtTriangle">
          <a:avLst/>
        </a:prstGeom>
        <a:solidFill>
          <a:srgbClr val="C0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7620</xdr:colOff>
      <xdr:row>31</xdr:row>
      <xdr:rowOff>83820</xdr:rowOff>
    </xdr:from>
    <xdr:to>
      <xdr:col>9</xdr:col>
      <xdr:colOff>362712</xdr:colOff>
      <xdr:row>33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87DAD99-4BC9-481C-AF38-151BAE4216BD}"/>
            </a:ext>
          </a:extLst>
        </xdr:cNvPr>
        <xdr:cNvSpPr/>
      </xdr:nvSpPr>
      <xdr:spPr>
        <a:xfrm>
          <a:off x="1866900" y="5760720"/>
          <a:ext cx="5376672" cy="434340"/>
        </a:xfrm>
        <a:prstGeom prst="rect">
          <a:avLst/>
        </a:prstGeom>
        <a:solidFill>
          <a:srgbClr val="C0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713935</xdr:colOff>
      <xdr:row>41</xdr:row>
      <xdr:rowOff>56880</xdr:rowOff>
    </xdr:from>
    <xdr:to>
      <xdr:col>8</xdr:col>
      <xdr:colOff>373350</xdr:colOff>
      <xdr:row>44</xdr:row>
      <xdr:rowOff>163595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70E39AE-104B-9F3E-C817-14C4CF53492D}"/>
            </a:ext>
          </a:extLst>
        </xdr:cNvPr>
        <xdr:cNvSpPr/>
      </xdr:nvSpPr>
      <xdr:spPr>
        <a:xfrm rot="7306469">
          <a:off x="3763075" y="5336400"/>
          <a:ext cx="655355" cy="5107715"/>
        </a:xfrm>
        <a:prstGeom prst="ellipse">
          <a:avLst/>
        </a:prstGeom>
        <a:solidFill>
          <a:schemeClr val="accent5">
            <a:lumMod val="60000"/>
            <a:lumOff val="40000"/>
            <a:alpha val="2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0.19826</cdr:x>
      <cdr:y>0.34252</cdr:y>
    </cdr:from>
    <cdr:to>
      <cdr:x>0.31638</cdr:x>
      <cdr:y>0.89048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E70E39AE-104B-9F3E-C817-14C4CF53492D}"/>
            </a:ext>
          </a:extLst>
        </cdr:cNvPr>
        <cdr:cNvSpPr/>
      </cdr:nvSpPr>
      <cdr:spPr>
        <a:xfrm xmlns:a="http://schemas.openxmlformats.org/drawingml/2006/main" rot="9294424">
          <a:off x="1317357" y="1562078"/>
          <a:ext cx="784841" cy="2498998"/>
        </a:xfrm>
        <a:prstGeom xmlns:a="http://schemas.openxmlformats.org/drawingml/2006/main" prst="ellipse">
          <a:avLst/>
        </a:prstGeom>
        <a:solidFill xmlns:a="http://schemas.openxmlformats.org/drawingml/2006/main">
          <a:srgbClr val="00B0F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17</xdr:row>
      <xdr:rowOff>38100</xdr:rowOff>
    </xdr:from>
    <xdr:to>
      <xdr:col>4</xdr:col>
      <xdr:colOff>723900</xdr:colOff>
      <xdr:row>38</xdr:row>
      <xdr:rowOff>167640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3353EBCC-6720-92F2-A42D-631EC15F2721}"/>
            </a:ext>
          </a:extLst>
        </xdr:cNvPr>
        <xdr:cNvGrpSpPr/>
      </xdr:nvGrpSpPr>
      <xdr:grpSpPr>
        <a:xfrm>
          <a:off x="449580" y="3147060"/>
          <a:ext cx="5234940" cy="3970020"/>
          <a:chOff x="624840" y="2400300"/>
          <a:chExt cx="5308776" cy="397002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5B45E24-C362-CB6C-6D3B-B8D0FE88E735}"/>
              </a:ext>
            </a:extLst>
          </xdr:cNvPr>
          <xdr:cNvGraphicFramePr/>
        </xdr:nvGraphicFramePr>
        <xdr:xfrm>
          <a:off x="624840" y="2400300"/>
          <a:ext cx="5308776" cy="39700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E52DF9A3-24B7-380D-609A-00A1B165EA20}"/>
              </a:ext>
            </a:extLst>
          </xdr:cNvPr>
          <xdr:cNvSpPr/>
        </xdr:nvSpPr>
        <xdr:spPr>
          <a:xfrm>
            <a:off x="1920240" y="2819400"/>
            <a:ext cx="3505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0672636-B428-4585-8C96-0FF3CEE35F5F}"/>
              </a:ext>
            </a:extLst>
          </xdr:cNvPr>
          <xdr:cNvSpPr/>
        </xdr:nvSpPr>
        <xdr:spPr>
          <a:xfrm>
            <a:off x="3641286" y="3230880"/>
            <a:ext cx="3505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E5C567C-5D04-41B2-A80D-C72015D3A577}"/>
              </a:ext>
            </a:extLst>
          </xdr:cNvPr>
          <xdr:cNvSpPr/>
        </xdr:nvSpPr>
        <xdr:spPr>
          <a:xfrm>
            <a:off x="4037203" y="3230880"/>
            <a:ext cx="3505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</a:t>
            </a:r>
          </a:p>
        </xdr:txBody>
      </xdr:sp>
    </xdr:grpSp>
    <xdr:clientData/>
  </xdr:twoCellAnchor>
  <xdr:twoCellAnchor>
    <xdr:from>
      <xdr:col>4</xdr:col>
      <xdr:colOff>807720</xdr:colOff>
      <xdr:row>17</xdr:row>
      <xdr:rowOff>26670</xdr:rowOff>
    </xdr:from>
    <xdr:to>
      <xdr:col>7</xdr:col>
      <xdr:colOff>1798320</xdr:colOff>
      <xdr:row>38</xdr:row>
      <xdr:rowOff>137160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E446757A-66F9-9D20-CE14-A3F6D8B72354}"/>
            </a:ext>
          </a:extLst>
        </xdr:cNvPr>
        <xdr:cNvGrpSpPr/>
      </xdr:nvGrpSpPr>
      <xdr:grpSpPr>
        <a:xfrm>
          <a:off x="5768340" y="3135630"/>
          <a:ext cx="5425440" cy="3950970"/>
          <a:chOff x="6606540" y="3112770"/>
          <a:chExt cx="6118860" cy="395097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EE8F1674-6FC9-4113-5E87-6EC34940C4DD}"/>
              </a:ext>
            </a:extLst>
          </xdr:cNvPr>
          <xdr:cNvGraphicFramePr/>
        </xdr:nvGraphicFramePr>
        <xdr:xfrm>
          <a:off x="6606540" y="3112770"/>
          <a:ext cx="6118860" cy="39509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5748FE9-45B2-4DB6-AAEB-2B1502CC9841}"/>
              </a:ext>
            </a:extLst>
          </xdr:cNvPr>
          <xdr:cNvSpPr/>
        </xdr:nvSpPr>
        <xdr:spPr>
          <a:xfrm>
            <a:off x="7810500" y="4861560"/>
            <a:ext cx="712481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Mn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BE47F35-CDA8-419F-AA8C-A6FA5213E1EC}"/>
              </a:ext>
            </a:extLst>
          </xdr:cNvPr>
          <xdr:cNvSpPr/>
        </xdr:nvSpPr>
        <xdr:spPr>
          <a:xfrm>
            <a:off x="8857533" y="3855720"/>
            <a:ext cx="5029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Ni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045CC00E-614E-4C18-825C-8CE0142CD05A}"/>
              </a:ext>
            </a:extLst>
          </xdr:cNvPr>
          <xdr:cNvSpPr/>
        </xdr:nvSpPr>
        <xdr:spPr>
          <a:xfrm>
            <a:off x="9159240" y="4610100"/>
            <a:ext cx="644233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α-Fe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51F49BE2-6DBA-47CE-BAA3-EB424C7DEC32}"/>
              </a:ext>
            </a:extLst>
          </xdr:cNvPr>
          <xdr:cNvSpPr/>
        </xdr:nvSpPr>
        <xdr:spPr>
          <a:xfrm>
            <a:off x="8992745" y="5097780"/>
            <a:ext cx="5029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2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C52C7CC-D1B7-48C8-83D4-23E794AE187B}"/>
              </a:ext>
            </a:extLst>
          </xdr:cNvPr>
          <xdr:cNvSpPr/>
        </xdr:nvSpPr>
        <xdr:spPr>
          <a:xfrm>
            <a:off x="9411502" y="3848100"/>
            <a:ext cx="701351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Cr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858C123F-274C-4F34-99B4-D3CDD91B0859}"/>
              </a:ext>
            </a:extLst>
          </xdr:cNvPr>
          <xdr:cNvSpPr/>
        </xdr:nvSpPr>
        <xdr:spPr>
          <a:xfrm>
            <a:off x="10892876" y="5593080"/>
            <a:ext cx="5029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A6A6C82F-5B27-43F9-A563-23FB45F20067}"/>
              </a:ext>
            </a:extLst>
          </xdr:cNvPr>
          <xdr:cNvSpPr/>
        </xdr:nvSpPr>
        <xdr:spPr>
          <a:xfrm>
            <a:off x="11544300" y="5501640"/>
            <a:ext cx="502920" cy="304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Nb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27</xdr:row>
      <xdr:rowOff>3810</xdr:rowOff>
    </xdr:from>
    <xdr:to>
      <xdr:col>6</xdr:col>
      <xdr:colOff>746760</xdr:colOff>
      <xdr:row>48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0477C-E4DD-ED42-1B0D-B73DA271C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</xdr:colOff>
      <xdr:row>27</xdr:row>
      <xdr:rowOff>11430</xdr:rowOff>
    </xdr:from>
    <xdr:to>
      <xdr:col>13</xdr:col>
      <xdr:colOff>678180</xdr:colOff>
      <xdr:row>48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964599-4EFD-C6B6-F724-8CAC68DF0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xperimental%20Data%20alpha-Fe\Diffusion_of_Niobium_in_alpha_Iron.pdf" TargetMode="External"/><Relationship Id="rId3" Type="http://schemas.openxmlformats.org/officeDocument/2006/relationships/hyperlink" Target="Experimental%20Data%20alpha-Fe\Diffusion_of_Hydrogen_in_Iron.pdf" TargetMode="External"/><Relationship Id="rId7" Type="http://schemas.openxmlformats.org/officeDocument/2006/relationships/hyperlink" Target="Experimental%20Data%20alpha-Fe\Diffusion_of_Silicon_in_Iron.pdf" TargetMode="External"/><Relationship Id="rId2" Type="http://schemas.openxmlformats.org/officeDocument/2006/relationships/hyperlink" Target="Experimental%20Data%20alpha-Fe\Nitrogen_Diffusion_in_BCC_Iron.pdf" TargetMode="External"/><Relationship Id="rId1" Type="http://schemas.openxmlformats.org/officeDocument/2006/relationships/hyperlink" Target="https://journals.aps.org/pr/pdf/10.1103/PhysRev.79.601?casa_token=uX9Fqu0ChukAAAAA%3An7bPkjwRNnjSNU1UttkbUooHTgpQWDNGBjv0J49jkIv-ATnVhImP7TLCyzmTct6tqlHQMoAXCacKhDc" TargetMode="External"/><Relationship Id="rId6" Type="http://schemas.openxmlformats.org/officeDocument/2006/relationships/hyperlink" Target="Experimental%20Data%20alpha-Fe\Diffusion_of_Nickel_into_Iron.pdf" TargetMode="External"/><Relationship Id="rId11" Type="http://schemas.openxmlformats.org/officeDocument/2006/relationships/hyperlink" Target="Experimental%20Data%20alpha-Fe\Interdiffusion_of_Cr_Mo_and_W_in_Iron.pdf" TargetMode="External"/><Relationship Id="rId5" Type="http://schemas.openxmlformats.org/officeDocument/2006/relationships/hyperlink" Target="Experimental%20Data%20alpha-Fe\Diffusion_of_Manganese_in_alpha_Iron.pdf" TargetMode="External"/><Relationship Id="rId10" Type="http://schemas.openxmlformats.org/officeDocument/2006/relationships/hyperlink" Target="Experimental%20Data%20alpha-Fe\Diffusion_of_Chromium_in_alpha_Iron.pdf" TargetMode="External"/><Relationship Id="rId4" Type="http://schemas.openxmlformats.org/officeDocument/2006/relationships/hyperlink" Target="Experimental%20Data%20alpha-Fe\Diffusion_Constants_of_Oxygen_in_alpha_Iron.pdf" TargetMode="External"/><Relationship Id="rId9" Type="http://schemas.openxmlformats.org/officeDocument/2006/relationships/hyperlink" Target="Experimental%20Data%20alpha-Fe\Diffusion_of_Molybdenum_in_alpha_Iron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8FE3-F1AF-455D-AEAE-EEE19B115BEA}">
  <dimension ref="A1:E14"/>
  <sheetViews>
    <sheetView workbookViewId="0">
      <selection activeCell="E6" sqref="E6"/>
    </sheetView>
  </sheetViews>
  <sheetFormatPr defaultRowHeight="14.4" x14ac:dyDescent="0.3"/>
  <sheetData>
    <row r="1" spans="1:5" x14ac:dyDescent="0.3">
      <c r="A1" s="1" t="s">
        <v>0</v>
      </c>
      <c r="B1" t="s">
        <v>1</v>
      </c>
    </row>
    <row r="3" spans="1:5" x14ac:dyDescent="0.3">
      <c r="A3" s="3" t="s">
        <v>2</v>
      </c>
      <c r="B3" s="3"/>
      <c r="D3" s="3" t="s">
        <v>13</v>
      </c>
      <c r="E3" s="3"/>
    </row>
    <row r="4" spans="1:5" x14ac:dyDescent="0.3">
      <c r="A4" s="5" t="s">
        <v>3</v>
      </c>
      <c r="B4" s="6" t="s">
        <v>8</v>
      </c>
      <c r="D4" s="2" t="s">
        <v>14</v>
      </c>
      <c r="E4" s="6" t="s">
        <v>25</v>
      </c>
    </row>
    <row r="5" spans="1:5" x14ac:dyDescent="0.3">
      <c r="A5" s="5" t="s">
        <v>4</v>
      </c>
      <c r="B5" s="6" t="s">
        <v>9</v>
      </c>
      <c r="D5" s="2" t="s">
        <v>17</v>
      </c>
      <c r="E5" s="2" t="s">
        <v>26</v>
      </c>
    </row>
    <row r="6" spans="1:5" x14ac:dyDescent="0.3">
      <c r="A6" s="5" t="s">
        <v>5</v>
      </c>
      <c r="B6" s="6" t="s">
        <v>10</v>
      </c>
      <c r="D6" s="2" t="s">
        <v>16</v>
      </c>
      <c r="E6" s="6" t="s">
        <v>27</v>
      </c>
    </row>
    <row r="7" spans="1:5" x14ac:dyDescent="0.3">
      <c r="A7" s="5" t="s">
        <v>6</v>
      </c>
      <c r="B7" s="6" t="s">
        <v>11</v>
      </c>
      <c r="D7" s="2" t="s">
        <v>18</v>
      </c>
      <c r="E7" s="2" t="s">
        <v>28</v>
      </c>
    </row>
    <row r="8" spans="1:5" x14ac:dyDescent="0.3">
      <c r="A8" s="5" t="s">
        <v>7</v>
      </c>
      <c r="B8" s="2" t="s">
        <v>12</v>
      </c>
      <c r="D8" s="2" t="s">
        <v>19</v>
      </c>
      <c r="E8" s="2" t="s">
        <v>29</v>
      </c>
    </row>
    <row r="9" spans="1:5" x14ac:dyDescent="0.3">
      <c r="D9" s="2" t="s">
        <v>20</v>
      </c>
      <c r="E9" s="6" t="s">
        <v>30</v>
      </c>
    </row>
    <row r="10" spans="1:5" x14ac:dyDescent="0.3">
      <c r="D10" s="2" t="s">
        <v>21</v>
      </c>
      <c r="E10" s="2" t="s">
        <v>31</v>
      </c>
    </row>
    <row r="11" spans="1:5" x14ac:dyDescent="0.3">
      <c r="D11" s="2" t="s">
        <v>22</v>
      </c>
      <c r="E11" s="6" t="s">
        <v>32</v>
      </c>
    </row>
    <row r="12" spans="1:5" x14ac:dyDescent="0.3">
      <c r="D12" s="2" t="s">
        <v>23</v>
      </c>
      <c r="E12" s="6" t="s">
        <v>33</v>
      </c>
    </row>
    <row r="13" spans="1:5" x14ac:dyDescent="0.3">
      <c r="D13" s="2" t="s">
        <v>24</v>
      </c>
      <c r="E13" s="6" t="s">
        <v>34</v>
      </c>
    </row>
    <row r="14" spans="1:5" x14ac:dyDescent="0.3">
      <c r="D14" s="2" t="s">
        <v>15</v>
      </c>
      <c r="E14" s="6" t="s">
        <v>35</v>
      </c>
    </row>
  </sheetData>
  <mergeCells count="2">
    <mergeCell ref="A3:B3"/>
    <mergeCell ref="D3:E3"/>
  </mergeCells>
  <hyperlinks>
    <hyperlink ref="B4" r:id="rId1" xr:uid="{62CCD31F-4269-4639-88C1-CB4F5BCE7A06}"/>
    <hyperlink ref="B5" r:id="rId2" xr:uid="{DDCCAF9B-2FED-420C-960C-6E0932A60B2A}"/>
    <hyperlink ref="B6" r:id="rId3" xr:uid="{1D6C369F-13CD-49E0-AAAA-0A1A3D3C70C0}"/>
    <hyperlink ref="B7" r:id="rId4" xr:uid="{5F546083-6490-404C-9209-A260B9D675C4}"/>
    <hyperlink ref="E4" r:id="rId5" xr:uid="{F3560781-C53E-478E-9776-05B9932814A8}"/>
    <hyperlink ref="E6" r:id="rId6" xr:uid="{8BBC98F5-55A4-4BC8-9F5A-46E963A0A540}"/>
    <hyperlink ref="E9" r:id="rId7" xr:uid="{3C5C2E6C-7A65-4574-B518-BD48CB348187}"/>
    <hyperlink ref="E11" r:id="rId8" xr:uid="{BA235087-B708-45A0-9C1F-982EBADCFE62}"/>
    <hyperlink ref="E12" r:id="rId9" xr:uid="{4ACD34A1-FBB6-4268-93CF-00D845DA835D}"/>
    <hyperlink ref="E14" r:id="rId10" xr:uid="{5DDF98CB-7297-4699-B178-6B02E5A55563}"/>
    <hyperlink ref="E13" r:id="rId11" xr:uid="{1FFF8E97-AE50-4072-A9B4-BE248F3E46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00E42-B231-4B70-B978-933D4BA751B7}">
  <dimension ref="A1:U26"/>
  <sheetViews>
    <sheetView workbookViewId="0">
      <selection sqref="A1:U26"/>
    </sheetView>
  </sheetViews>
  <sheetFormatPr defaultRowHeight="14.4" x14ac:dyDescent="0.3"/>
  <cols>
    <col min="1" max="1" width="12" bestFit="1" customWidth="1"/>
    <col min="2" max="2" width="14.88671875" bestFit="1" customWidth="1"/>
    <col min="5" max="6" width="12" bestFit="1" customWidth="1"/>
    <col min="7" max="7" width="12" customWidth="1"/>
    <col min="8" max="8" width="12.6640625" bestFit="1" customWidth="1"/>
    <col min="11" max="12" width="11" bestFit="1" customWidth="1"/>
    <col min="13" max="13" width="10.77734375" bestFit="1" customWidth="1"/>
    <col min="14" max="14" width="15.6640625" bestFit="1" customWidth="1"/>
    <col min="17" max="17" width="12" bestFit="1" customWidth="1"/>
    <col min="20" max="20" width="10.77734375" bestFit="1" customWidth="1"/>
    <col min="21" max="21" width="11" bestFit="1" customWidth="1"/>
  </cols>
  <sheetData>
    <row r="1" spans="1:21" ht="15" thickBot="1" x14ac:dyDescent="0.35">
      <c r="A1" s="24" t="s">
        <v>3</v>
      </c>
      <c r="B1" s="25"/>
      <c r="C1" s="25"/>
      <c r="D1" s="25"/>
      <c r="E1" s="26"/>
      <c r="F1" s="31" t="s">
        <v>4</v>
      </c>
      <c r="G1" s="32"/>
      <c r="H1" s="32"/>
      <c r="I1" s="32"/>
      <c r="J1" s="32"/>
      <c r="K1" s="32"/>
      <c r="L1" s="33"/>
      <c r="M1" s="38" t="s">
        <v>5</v>
      </c>
      <c r="N1" s="39"/>
      <c r="O1" s="39"/>
      <c r="P1" s="39"/>
      <c r="Q1" s="40"/>
      <c r="R1" s="41" t="s">
        <v>6</v>
      </c>
      <c r="S1" s="49"/>
      <c r="T1" s="49"/>
      <c r="U1" s="42"/>
    </row>
    <row r="2" spans="1:21" x14ac:dyDescent="0.3">
      <c r="A2" s="47" t="s">
        <v>38</v>
      </c>
      <c r="B2" s="8" t="s">
        <v>36</v>
      </c>
      <c r="C2" s="18" t="s">
        <v>37</v>
      </c>
      <c r="D2" s="27" t="s">
        <v>39</v>
      </c>
      <c r="E2" s="28" t="s">
        <v>40</v>
      </c>
      <c r="F2" s="20" t="s">
        <v>41</v>
      </c>
      <c r="G2" s="34" t="s">
        <v>38</v>
      </c>
      <c r="H2" s="18" t="s">
        <v>42</v>
      </c>
      <c r="I2" s="18" t="s">
        <v>37</v>
      </c>
      <c r="J2" s="34" t="s">
        <v>39</v>
      </c>
      <c r="K2" s="18" t="s">
        <v>43</v>
      </c>
      <c r="L2" s="36" t="s">
        <v>40</v>
      </c>
      <c r="M2" s="22" t="s">
        <v>38</v>
      </c>
      <c r="N2" s="18" t="s">
        <v>44</v>
      </c>
      <c r="O2" s="18" t="s">
        <v>37</v>
      </c>
      <c r="P2" s="14" t="s">
        <v>39</v>
      </c>
      <c r="Q2" s="15" t="s">
        <v>40</v>
      </c>
      <c r="R2" s="43" t="s">
        <v>39</v>
      </c>
      <c r="S2" s="50" t="s">
        <v>37</v>
      </c>
      <c r="T2" s="50" t="s">
        <v>38</v>
      </c>
      <c r="U2" s="44" t="s">
        <v>40</v>
      </c>
    </row>
    <row r="3" spans="1:21" x14ac:dyDescent="0.3">
      <c r="A3" s="48">
        <v>4.20836025335909</v>
      </c>
      <c r="B3" s="9">
        <v>-19.967613903416101</v>
      </c>
      <c r="C3" s="19">
        <f>1000/A3</f>
        <v>237.62224234529481</v>
      </c>
      <c r="D3" s="29">
        <f>C3-273</f>
        <v>-35.377757654705192</v>
      </c>
      <c r="E3" s="30">
        <f>10^B3</f>
        <v>1.0774226385128251E-20</v>
      </c>
      <c r="F3" s="11">
        <v>5.90834845735026</v>
      </c>
      <c r="G3" s="35">
        <f>F3/10</f>
        <v>0.59083484573502598</v>
      </c>
      <c r="H3" s="9">
        <v>-19.6315789473684</v>
      </c>
      <c r="I3" s="9">
        <f>10000/F3</f>
        <v>1692.5203501766277</v>
      </c>
      <c r="J3" s="35">
        <f>I3-273</f>
        <v>1419.5203501766277</v>
      </c>
      <c r="K3" s="9">
        <f>EXP(H3)</f>
        <v>2.9792955786706153E-9</v>
      </c>
      <c r="L3" s="37">
        <f>K3*(100^2)</f>
        <v>2.9792955786706154E-5</v>
      </c>
      <c r="M3" s="23">
        <v>2.68571716493113</v>
      </c>
      <c r="N3" s="9">
        <v>3.1664483244147101</v>
      </c>
      <c r="O3" s="9">
        <f>1000/M3</f>
        <v>372.34002636522712</v>
      </c>
      <c r="P3" s="16">
        <f>O3-273</f>
        <v>99.340026365227118</v>
      </c>
      <c r="Q3" s="21">
        <f>N3*(10^-5)</f>
        <v>3.1664483244147105E-5</v>
      </c>
      <c r="R3" s="45">
        <v>700</v>
      </c>
      <c r="S3" s="51">
        <f>R3+273</f>
        <v>973</v>
      </c>
      <c r="T3" s="51">
        <f>1000/S3</f>
        <v>1.0277492291880781</v>
      </c>
      <c r="U3" s="46">
        <f>5.26*(10^-10)</f>
        <v>5.2600000000000004E-10</v>
      </c>
    </row>
    <row r="4" spans="1:21" x14ac:dyDescent="0.3">
      <c r="A4" s="48">
        <v>4.0256984907377698</v>
      </c>
      <c r="B4" s="9">
        <v>-19.293630958153901</v>
      </c>
      <c r="C4" s="19">
        <f t="shared" ref="C4:C24" si="0">1000/A4</f>
        <v>248.40409740092954</v>
      </c>
      <c r="D4" s="29">
        <f t="shared" ref="D4:D24" si="1">C4-273</f>
        <v>-24.595902599070456</v>
      </c>
      <c r="E4" s="30">
        <f t="shared" ref="E4:E24" si="2">10^B4</f>
        <v>5.0859143469241822E-20</v>
      </c>
      <c r="F4" s="11">
        <v>8.98856624319418</v>
      </c>
      <c r="G4" s="35">
        <f t="shared" ref="G4:G26" si="3">F4/10</f>
        <v>0.89885662431941804</v>
      </c>
      <c r="H4" s="9">
        <v>-22.3263157894736</v>
      </c>
      <c r="I4" s="9">
        <f t="shared" ref="I4:I26" si="4">10000/F4</f>
        <v>1112.5244815958988</v>
      </c>
      <c r="J4" s="35">
        <f t="shared" ref="J4:J26" si="5">I4-273</f>
        <v>839.52448159589881</v>
      </c>
      <c r="K4" s="9">
        <f t="shared" ref="K4:K26" si="6">EXP(H4)</f>
        <v>2.0128168128736312E-10</v>
      </c>
      <c r="L4" s="37">
        <f t="shared" ref="L4:L26" si="7">K4*(100^2)</f>
        <v>2.0128168128736311E-6</v>
      </c>
      <c r="M4" s="23">
        <v>2.8026335236815498</v>
      </c>
      <c r="N4" s="9">
        <v>3.1442721867757299</v>
      </c>
      <c r="O4" s="9">
        <f t="shared" ref="O4:O19" si="8">1000/M4</f>
        <v>356.80726415003994</v>
      </c>
      <c r="P4" s="16">
        <f t="shared" ref="P4:P19" si="9">O4-273</f>
        <v>83.807264150039941</v>
      </c>
      <c r="Q4" s="21">
        <f t="shared" ref="Q4:Q19" si="10">N4*(10^-5)</f>
        <v>3.1442721867757303E-5</v>
      </c>
      <c r="R4" s="45">
        <v>725</v>
      </c>
      <c r="S4" s="51">
        <f t="shared" ref="S4:S9" si="11">R4+273</f>
        <v>998</v>
      </c>
      <c r="T4" s="51">
        <f t="shared" ref="T4:T9" si="12">1000/S4</f>
        <v>1.002004008016032</v>
      </c>
      <c r="U4" s="46">
        <f>8.97*(10^-10)</f>
        <v>8.9700000000000011E-10</v>
      </c>
    </row>
    <row r="5" spans="1:21" x14ac:dyDescent="0.3">
      <c r="A5" s="48">
        <v>3.8843978245137598</v>
      </c>
      <c r="B5" s="9">
        <v>-18.698580263953001</v>
      </c>
      <c r="C5" s="19">
        <f t="shared" si="0"/>
        <v>257.44016065738009</v>
      </c>
      <c r="D5" s="29">
        <f t="shared" si="1"/>
        <v>-15.55983934261991</v>
      </c>
      <c r="E5" s="30">
        <f t="shared" si="2"/>
        <v>2.0017956263785208E-19</v>
      </c>
      <c r="F5" s="11">
        <v>9.8411978221415506</v>
      </c>
      <c r="G5" s="35">
        <f t="shared" si="3"/>
        <v>0.98411978221415508</v>
      </c>
      <c r="H5" s="9">
        <v>-23.421052631578899</v>
      </c>
      <c r="I5" s="9">
        <f t="shared" si="4"/>
        <v>1016.1364684186271</v>
      </c>
      <c r="J5" s="35">
        <f t="shared" si="5"/>
        <v>743.13646841862715</v>
      </c>
      <c r="K5" s="9">
        <f t="shared" si="6"/>
        <v>6.7354417058409216E-11</v>
      </c>
      <c r="L5" s="37">
        <f t="shared" si="7"/>
        <v>6.7354417058409213E-7</v>
      </c>
      <c r="M5" s="23">
        <v>2.8347866980181302</v>
      </c>
      <c r="N5" s="9">
        <v>2.67496378426224</v>
      </c>
      <c r="O5" s="9">
        <f t="shared" si="8"/>
        <v>352.76022732120367</v>
      </c>
      <c r="P5" s="16">
        <f t="shared" si="9"/>
        <v>79.760227321203672</v>
      </c>
      <c r="Q5" s="21">
        <f t="shared" si="10"/>
        <v>2.6749637842622403E-5</v>
      </c>
      <c r="R5" s="45">
        <v>750</v>
      </c>
      <c r="S5" s="51">
        <f t="shared" si="11"/>
        <v>1023</v>
      </c>
      <c r="T5" s="51">
        <f t="shared" si="12"/>
        <v>0.97751710654936463</v>
      </c>
      <c r="U5" s="46">
        <f>1.37*(10^-9)</f>
        <v>1.3700000000000002E-9</v>
      </c>
    </row>
    <row r="6" spans="1:21" x14ac:dyDescent="0.3">
      <c r="A6" s="48">
        <v>3.7931079760368198</v>
      </c>
      <c r="B6" s="9">
        <v>-18.3815083669678</v>
      </c>
      <c r="C6" s="19">
        <f t="shared" si="0"/>
        <v>263.63604893864294</v>
      </c>
      <c r="D6" s="29">
        <f t="shared" si="1"/>
        <v>-9.3639510613570565</v>
      </c>
      <c r="E6" s="30">
        <f t="shared" si="2"/>
        <v>4.1542404774824245E-19</v>
      </c>
      <c r="F6" s="11">
        <v>11.552268602540799</v>
      </c>
      <c r="G6" s="35">
        <f t="shared" si="3"/>
        <v>1.1552268602540798</v>
      </c>
      <c r="H6" s="9">
        <v>-24.9368421052631</v>
      </c>
      <c r="I6" s="9">
        <f t="shared" si="4"/>
        <v>865.63084222267878</v>
      </c>
      <c r="J6" s="35">
        <f t="shared" si="5"/>
        <v>592.63084222267878</v>
      </c>
      <c r="K6" s="9">
        <f t="shared" si="6"/>
        <v>1.4793368568567264E-11</v>
      </c>
      <c r="L6" s="37">
        <f t="shared" si="7"/>
        <v>1.4793368568567264E-7</v>
      </c>
      <c r="M6" s="23">
        <v>2.8747799798454801</v>
      </c>
      <c r="N6" s="9">
        <v>2.65622974568605</v>
      </c>
      <c r="O6" s="9">
        <f t="shared" si="8"/>
        <v>347.852707689216</v>
      </c>
      <c r="P6" s="16">
        <f t="shared" si="9"/>
        <v>74.852707689216004</v>
      </c>
      <c r="Q6" s="21">
        <f t="shared" si="10"/>
        <v>2.6562297456860501E-5</v>
      </c>
      <c r="R6" s="45">
        <v>775</v>
      </c>
      <c r="S6" s="51">
        <f t="shared" si="11"/>
        <v>1048</v>
      </c>
      <c r="T6" s="51">
        <f t="shared" si="12"/>
        <v>0.95419847328244278</v>
      </c>
      <c r="U6" s="46">
        <f>2.28*(10^-9)</f>
        <v>2.28E-9</v>
      </c>
    </row>
    <row r="7" spans="1:21" x14ac:dyDescent="0.3">
      <c r="A7" s="48">
        <v>3.67677168585262</v>
      </c>
      <c r="B7" s="9">
        <v>-17.905527495728801</v>
      </c>
      <c r="C7" s="19">
        <f t="shared" si="0"/>
        <v>271.97772541813578</v>
      </c>
      <c r="D7" s="29">
        <f t="shared" si="1"/>
        <v>-1.0222745818642238</v>
      </c>
      <c r="E7" s="30">
        <f t="shared" si="2"/>
        <v>1.2430039372138287E-18</v>
      </c>
      <c r="F7" s="11">
        <v>13.007622504537199</v>
      </c>
      <c r="G7" s="35">
        <f t="shared" si="3"/>
        <v>1.30076225045372</v>
      </c>
      <c r="H7" s="9">
        <v>-26.115789473684199</v>
      </c>
      <c r="I7" s="9">
        <f t="shared" si="4"/>
        <v>768.77999776760839</v>
      </c>
      <c r="J7" s="35">
        <f t="shared" si="5"/>
        <v>495.77999776760839</v>
      </c>
      <c r="K7" s="9">
        <f t="shared" si="6"/>
        <v>4.5504750870320967E-12</v>
      </c>
      <c r="L7" s="37">
        <f t="shared" si="7"/>
        <v>4.5504750870320969E-8</v>
      </c>
      <c r="M7" s="23">
        <v>2.9161639234128298</v>
      </c>
      <c r="N7" s="9">
        <v>2.25976567877108</v>
      </c>
      <c r="O7" s="9">
        <f t="shared" si="8"/>
        <v>342.91625102805784</v>
      </c>
      <c r="P7" s="16">
        <f t="shared" si="9"/>
        <v>69.916251028057843</v>
      </c>
      <c r="Q7" s="21">
        <f t="shared" si="10"/>
        <v>2.2597656787710803E-5</v>
      </c>
      <c r="R7" s="45">
        <v>800</v>
      </c>
      <c r="S7" s="51">
        <f t="shared" si="11"/>
        <v>1073</v>
      </c>
      <c r="T7" s="51">
        <f t="shared" si="12"/>
        <v>0.93196644920782856</v>
      </c>
      <c r="U7" s="46">
        <f>3.4*(10^-9)</f>
        <v>3.4000000000000003E-9</v>
      </c>
    </row>
    <row r="8" spans="1:21" x14ac:dyDescent="0.3">
      <c r="A8" s="48">
        <v>3.3690418460298801</v>
      </c>
      <c r="B8" s="9">
        <v>-16.516677981781399</v>
      </c>
      <c r="C8" s="19">
        <f t="shared" si="0"/>
        <v>296.82029660106838</v>
      </c>
      <c r="D8" s="29">
        <f t="shared" si="1"/>
        <v>23.820296601068378</v>
      </c>
      <c r="E8" s="30">
        <f t="shared" si="2"/>
        <v>3.0431406000455089E-17</v>
      </c>
      <c r="F8" s="11">
        <v>13.949364791288501</v>
      </c>
      <c r="G8" s="35">
        <f t="shared" si="3"/>
        <v>1.3949364791288501</v>
      </c>
      <c r="H8" s="9">
        <v>-26.873684210526299</v>
      </c>
      <c r="I8" s="9">
        <f t="shared" si="4"/>
        <v>716.87852096642325</v>
      </c>
      <c r="J8" s="35">
        <f t="shared" si="5"/>
        <v>443.87852096642325</v>
      </c>
      <c r="K8" s="9">
        <f t="shared" si="6"/>
        <v>2.132589364324455E-12</v>
      </c>
      <c r="L8" s="37">
        <f t="shared" si="7"/>
        <v>2.132589364324455E-8</v>
      </c>
      <c r="M8" s="23">
        <v>2.9868055089015701</v>
      </c>
      <c r="N8" s="9">
        <v>1.9772895169062901</v>
      </c>
      <c r="O8" s="9">
        <f t="shared" si="8"/>
        <v>334.80586433221117</v>
      </c>
      <c r="P8" s="16">
        <f t="shared" si="9"/>
        <v>61.805864332211172</v>
      </c>
      <c r="Q8" s="21">
        <f t="shared" si="10"/>
        <v>1.9772895169062902E-5</v>
      </c>
      <c r="R8" s="45">
        <v>825</v>
      </c>
      <c r="S8" s="51">
        <f t="shared" si="11"/>
        <v>1098</v>
      </c>
      <c r="T8" s="51">
        <f t="shared" si="12"/>
        <v>0.91074681238615662</v>
      </c>
      <c r="U8" s="46">
        <f>5.28*(10^-9)</f>
        <v>5.2800000000000008E-9</v>
      </c>
    </row>
    <row r="9" spans="1:21" x14ac:dyDescent="0.3">
      <c r="A9" s="48">
        <v>3.31878483128044</v>
      </c>
      <c r="B9" s="9">
        <v>-16.1191817306903</v>
      </c>
      <c r="C9" s="19">
        <f t="shared" si="0"/>
        <v>301.31510502721687</v>
      </c>
      <c r="D9" s="29">
        <f t="shared" si="1"/>
        <v>28.315105027216873</v>
      </c>
      <c r="E9" s="30">
        <f t="shared" si="2"/>
        <v>7.600081846794201E-17</v>
      </c>
      <c r="F9" s="11">
        <v>14.892558983666</v>
      </c>
      <c r="G9" s="35">
        <f t="shared" si="3"/>
        <v>1.4892558983666</v>
      </c>
      <c r="H9" s="9">
        <v>-27.463157894736799</v>
      </c>
      <c r="I9" s="9">
        <f t="shared" si="4"/>
        <v>671.47627288016076</v>
      </c>
      <c r="J9" s="35">
        <f t="shared" si="5"/>
        <v>398.47627288016076</v>
      </c>
      <c r="K9" s="9">
        <f t="shared" si="6"/>
        <v>1.1827748210529162E-12</v>
      </c>
      <c r="L9" s="37">
        <f t="shared" si="7"/>
        <v>1.1827748210529163E-8</v>
      </c>
      <c r="M9" s="23">
        <v>3.0791064830366102</v>
      </c>
      <c r="N9" s="9">
        <v>1.96344162172956</v>
      </c>
      <c r="O9" s="9">
        <f t="shared" si="8"/>
        <v>324.76954126438704</v>
      </c>
      <c r="P9" s="16">
        <f t="shared" si="9"/>
        <v>51.769541264387044</v>
      </c>
      <c r="Q9" s="21">
        <f t="shared" si="10"/>
        <v>1.9634416217295603E-5</v>
      </c>
      <c r="R9" s="45">
        <v>850</v>
      </c>
      <c r="S9" s="51">
        <f t="shared" si="11"/>
        <v>1123</v>
      </c>
      <c r="T9" s="51">
        <f t="shared" si="12"/>
        <v>0.89047195013357083</v>
      </c>
      <c r="U9" s="46">
        <f>7.67*(10^-9)</f>
        <v>7.6700000000000002E-9</v>
      </c>
    </row>
    <row r="10" spans="1:21" x14ac:dyDescent="0.3">
      <c r="A10" s="48">
        <v>3.2438917031610202</v>
      </c>
      <c r="B10" s="9">
        <v>-15.7619722618044</v>
      </c>
      <c r="C10" s="19">
        <f t="shared" si="0"/>
        <v>308.27169693289915</v>
      </c>
      <c r="D10" s="29">
        <f t="shared" si="1"/>
        <v>35.271696932899147</v>
      </c>
      <c r="E10" s="30">
        <f t="shared" si="2"/>
        <v>1.7299268453457001E-16</v>
      </c>
      <c r="F10" s="11">
        <v>16.6833030852994</v>
      </c>
      <c r="G10" s="35">
        <f t="shared" si="3"/>
        <v>1.6683303085299399</v>
      </c>
      <c r="H10" s="9">
        <v>-29.736842105263101</v>
      </c>
      <c r="I10" s="9">
        <f t="shared" si="4"/>
        <v>599.4016861571954</v>
      </c>
      <c r="J10" s="35">
        <f t="shared" si="5"/>
        <v>326.4016861571954</v>
      </c>
      <c r="K10" s="9">
        <f t="shared" si="6"/>
        <v>1.2174568132223201E-13</v>
      </c>
      <c r="L10" s="37">
        <f t="shared" si="7"/>
        <v>1.21745681322232E-9</v>
      </c>
      <c r="M10" s="23">
        <v>3.0790124286194098</v>
      </c>
      <c r="N10" s="9">
        <v>1.7794516920711001</v>
      </c>
      <c r="O10" s="9">
        <f t="shared" si="8"/>
        <v>324.77946198105712</v>
      </c>
      <c r="P10" s="16">
        <f t="shared" si="9"/>
        <v>51.779461981057125</v>
      </c>
      <c r="Q10" s="21">
        <f t="shared" si="10"/>
        <v>1.7794516920711001E-5</v>
      </c>
      <c r="R10" s="11"/>
      <c r="S10" s="9"/>
      <c r="T10" s="9"/>
      <c r="U10" s="13"/>
    </row>
    <row r="11" spans="1:21" x14ac:dyDescent="0.3">
      <c r="A11" s="48">
        <v>3.2023664754287902</v>
      </c>
      <c r="B11" s="9">
        <v>-15.6033617081595</v>
      </c>
      <c r="C11" s="19">
        <f t="shared" si="0"/>
        <v>312.26906966233531</v>
      </c>
      <c r="D11" s="29">
        <f t="shared" si="1"/>
        <v>39.269069662335312</v>
      </c>
      <c r="E11" s="30">
        <f t="shared" si="2"/>
        <v>2.4925179342218927E-16</v>
      </c>
      <c r="F11" s="11">
        <v>21.294918330308501</v>
      </c>
      <c r="G11" s="35">
        <f t="shared" si="3"/>
        <v>2.1294918330308503</v>
      </c>
      <c r="H11" s="9">
        <v>-34.789473684210499</v>
      </c>
      <c r="I11" s="9">
        <f t="shared" si="4"/>
        <v>469.59560233519471</v>
      </c>
      <c r="J11" s="35">
        <f t="shared" si="5"/>
        <v>196.59560233519471</v>
      </c>
      <c r="K11" s="9">
        <f t="shared" si="6"/>
        <v>7.7825792290597033E-16</v>
      </c>
      <c r="L11" s="37">
        <f t="shared" si="7"/>
        <v>7.7825792290597036E-12</v>
      </c>
      <c r="M11" s="23">
        <v>3.17746724890829</v>
      </c>
      <c r="N11" s="9">
        <v>1.7669893489022499</v>
      </c>
      <c r="O11" s="9">
        <f t="shared" si="8"/>
        <v>314.71606838546603</v>
      </c>
      <c r="P11" s="16">
        <f t="shared" si="9"/>
        <v>41.716068385466031</v>
      </c>
      <c r="Q11" s="21">
        <f t="shared" si="10"/>
        <v>1.7669893489022501E-5</v>
      </c>
      <c r="R11" s="11"/>
      <c r="S11" s="9"/>
      <c r="T11" s="9"/>
      <c r="U11" s="13"/>
    </row>
    <row r="12" spans="1:21" x14ac:dyDescent="0.3">
      <c r="A12" s="48">
        <v>3.16092331336402</v>
      </c>
      <c r="B12" s="9">
        <v>-15.484590305806501</v>
      </c>
      <c r="C12" s="19">
        <f t="shared" si="0"/>
        <v>316.36325872637121</v>
      </c>
      <c r="D12" s="29">
        <f t="shared" si="1"/>
        <v>43.363258726371214</v>
      </c>
      <c r="E12" s="30">
        <f t="shared" si="2"/>
        <v>3.2764963930248655E-16</v>
      </c>
      <c r="F12" s="11">
        <v>23.097277676950899</v>
      </c>
      <c r="G12" s="35">
        <f t="shared" si="3"/>
        <v>2.3097277676950898</v>
      </c>
      <c r="H12" s="9">
        <v>-35.715789473684197</v>
      </c>
      <c r="I12" s="9">
        <f t="shared" si="4"/>
        <v>432.9514560055336</v>
      </c>
      <c r="J12" s="35">
        <f t="shared" si="5"/>
        <v>159.9514560055336</v>
      </c>
      <c r="K12" s="9">
        <f t="shared" si="6"/>
        <v>3.0819792807779287E-16</v>
      </c>
      <c r="L12" s="37">
        <f t="shared" si="7"/>
        <v>3.0819792807779286E-12</v>
      </c>
      <c r="M12" s="23">
        <v>3.1789049378568999</v>
      </c>
      <c r="N12" s="9">
        <v>1.5901931203758699</v>
      </c>
      <c r="O12" s="9">
        <f t="shared" si="8"/>
        <v>314.57373515364162</v>
      </c>
      <c r="P12" s="16">
        <f t="shared" si="9"/>
        <v>41.573735153641621</v>
      </c>
      <c r="Q12" s="21">
        <f t="shared" si="10"/>
        <v>1.5901931203758701E-5</v>
      </c>
      <c r="R12" s="11"/>
      <c r="S12" s="9"/>
      <c r="T12" s="9"/>
      <c r="U12" s="13"/>
    </row>
    <row r="13" spans="1:21" x14ac:dyDescent="0.3">
      <c r="A13" s="48">
        <v>3.1192339542968801</v>
      </c>
      <c r="B13" s="9">
        <v>-15.2463014495781</v>
      </c>
      <c r="C13" s="19">
        <f t="shared" si="0"/>
        <v>320.59153454086271</v>
      </c>
      <c r="D13" s="29">
        <f t="shared" si="1"/>
        <v>47.59153454086271</v>
      </c>
      <c r="E13" s="30">
        <f t="shared" si="2"/>
        <v>5.6715080183481228E-16</v>
      </c>
      <c r="F13" s="11">
        <v>23.695644283121499</v>
      </c>
      <c r="G13" s="35">
        <f t="shared" si="3"/>
        <v>2.3695644283121498</v>
      </c>
      <c r="H13" s="9">
        <v>-36.3052631578947</v>
      </c>
      <c r="I13" s="9">
        <f t="shared" si="4"/>
        <v>422.01848915849229</v>
      </c>
      <c r="J13" s="35">
        <f t="shared" si="5"/>
        <v>149.01848915849229</v>
      </c>
      <c r="K13" s="9">
        <f t="shared" si="6"/>
        <v>1.7093246141484077E-16</v>
      </c>
      <c r="L13" s="37">
        <f t="shared" si="7"/>
        <v>1.7093246141484077E-12</v>
      </c>
      <c r="M13" s="23">
        <v>3.2388041652670401</v>
      </c>
      <c r="N13" s="9">
        <v>1.43108624942291</v>
      </c>
      <c r="O13" s="9">
        <f t="shared" si="8"/>
        <v>308.7559324283967</v>
      </c>
      <c r="P13" s="16">
        <f t="shared" si="9"/>
        <v>35.755932428396704</v>
      </c>
      <c r="Q13" s="21">
        <f t="shared" si="10"/>
        <v>1.4310862494229101E-5</v>
      </c>
      <c r="R13" s="11"/>
      <c r="S13" s="9"/>
      <c r="T13" s="9"/>
      <c r="U13" s="13"/>
    </row>
    <row r="14" spans="1:21" x14ac:dyDescent="0.3">
      <c r="A14" s="48">
        <v>2.7202142659972099</v>
      </c>
      <c r="B14" s="9">
        <v>-13.540380038645401</v>
      </c>
      <c r="C14" s="19">
        <f t="shared" si="0"/>
        <v>367.6180999783881</v>
      </c>
      <c r="D14" s="29">
        <f t="shared" si="1"/>
        <v>94.618099978388102</v>
      </c>
      <c r="E14" s="30">
        <f t="shared" si="2"/>
        <v>2.8815088737744856E-14</v>
      </c>
      <c r="F14" s="11">
        <v>27.111978221415601</v>
      </c>
      <c r="G14" s="35">
        <f t="shared" si="3"/>
        <v>2.71119782214156</v>
      </c>
      <c r="H14" s="9">
        <v>-40.010526315789399</v>
      </c>
      <c r="I14" s="9">
        <f t="shared" si="4"/>
        <v>368.84066217274602</v>
      </c>
      <c r="J14" s="35">
        <f t="shared" si="5"/>
        <v>95.840662172746022</v>
      </c>
      <c r="K14" s="9">
        <f t="shared" si="6"/>
        <v>4.2038692790253632E-18</v>
      </c>
      <c r="L14" s="37">
        <f t="shared" si="7"/>
        <v>4.2038692790253635E-14</v>
      </c>
      <c r="M14" s="23">
        <v>3.2663621095062099</v>
      </c>
      <c r="N14" s="9">
        <v>1.2434272866423399</v>
      </c>
      <c r="O14" s="9">
        <f t="shared" si="8"/>
        <v>306.15099198269058</v>
      </c>
      <c r="P14" s="16">
        <f t="shared" si="9"/>
        <v>33.150991982690584</v>
      </c>
      <c r="Q14" s="21">
        <f t="shared" si="10"/>
        <v>1.2434272866423401E-5</v>
      </c>
      <c r="R14" s="11"/>
      <c r="S14" s="9"/>
      <c r="T14" s="9"/>
      <c r="U14" s="13"/>
    </row>
    <row r="15" spans="1:21" x14ac:dyDescent="0.3">
      <c r="A15" s="48">
        <v>2.50410253732122</v>
      </c>
      <c r="B15" s="9">
        <v>-12.6279590268503</v>
      </c>
      <c r="C15" s="19">
        <f t="shared" si="0"/>
        <v>399.34466943584368</v>
      </c>
      <c r="D15" s="29">
        <f t="shared" si="1"/>
        <v>126.34466943584368</v>
      </c>
      <c r="E15" s="30">
        <f t="shared" si="2"/>
        <v>2.3552714795324545E-13</v>
      </c>
      <c r="F15" s="11">
        <v>28.139201451905599</v>
      </c>
      <c r="G15" s="35">
        <f t="shared" si="3"/>
        <v>2.81392014519056</v>
      </c>
      <c r="H15" s="9">
        <v>-40.852631578947303</v>
      </c>
      <c r="I15" s="9">
        <f t="shared" si="4"/>
        <v>355.37611175966032</v>
      </c>
      <c r="J15" s="35">
        <f t="shared" si="5"/>
        <v>82.376111759660319</v>
      </c>
      <c r="K15" s="9">
        <f t="shared" si="6"/>
        <v>1.8110378793522654E-18</v>
      </c>
      <c r="L15" s="37">
        <f t="shared" si="7"/>
        <v>1.8110378793522653E-14</v>
      </c>
      <c r="M15" s="23">
        <v>3.31566006046355</v>
      </c>
      <c r="N15" s="9">
        <v>1.3339609035017099</v>
      </c>
      <c r="O15" s="9">
        <f t="shared" si="8"/>
        <v>301.59907281333108</v>
      </c>
      <c r="P15" s="16">
        <f t="shared" si="9"/>
        <v>28.599072813331077</v>
      </c>
      <c r="Q15" s="21">
        <f t="shared" si="10"/>
        <v>1.3339609035017101E-5</v>
      </c>
      <c r="R15" s="11"/>
      <c r="S15" s="9"/>
      <c r="T15" s="9"/>
      <c r="U15" s="13"/>
    </row>
    <row r="16" spans="1:21" x14ac:dyDescent="0.3">
      <c r="A16" s="48">
        <v>2.3463230850722501</v>
      </c>
      <c r="B16" s="9">
        <v>-12.0332067532583</v>
      </c>
      <c r="C16" s="19">
        <f t="shared" si="0"/>
        <v>426.19876451039016</v>
      </c>
      <c r="D16" s="29">
        <f t="shared" si="1"/>
        <v>153.19876451039016</v>
      </c>
      <c r="E16" s="30">
        <f t="shared" si="2"/>
        <v>9.2638869532475005E-13</v>
      </c>
      <c r="F16" s="11">
        <v>30.191470054446398</v>
      </c>
      <c r="G16" s="35">
        <f t="shared" si="3"/>
        <v>3.0191470054446397</v>
      </c>
      <c r="H16" s="9">
        <v>-42.789473684210499</v>
      </c>
      <c r="I16" s="9">
        <f t="shared" si="4"/>
        <v>331.21938024105145</v>
      </c>
      <c r="J16" s="35">
        <f t="shared" si="5"/>
        <v>58.219380241051454</v>
      </c>
      <c r="K16" s="9">
        <f t="shared" si="6"/>
        <v>2.6107644800398729E-19</v>
      </c>
      <c r="L16" s="37">
        <f t="shared" si="7"/>
        <v>2.6107644800398728E-15</v>
      </c>
      <c r="M16" s="23">
        <v>3.3540476990258599</v>
      </c>
      <c r="N16" s="9">
        <v>1.23471897631242</v>
      </c>
      <c r="O16" s="9">
        <f t="shared" si="8"/>
        <v>298.1472208312473</v>
      </c>
      <c r="P16" s="16">
        <f t="shared" si="9"/>
        <v>25.147220831247296</v>
      </c>
      <c r="Q16" s="21">
        <f t="shared" si="10"/>
        <v>1.2347189763124201E-5</v>
      </c>
      <c r="R16" s="11"/>
      <c r="S16" s="9"/>
      <c r="T16" s="9"/>
      <c r="U16" s="13"/>
    </row>
    <row r="17" spans="1:21" x14ac:dyDescent="0.3">
      <c r="A17" s="48">
        <v>2.0886861286640399</v>
      </c>
      <c r="B17" s="9">
        <v>-10.962175187818399</v>
      </c>
      <c r="C17" s="19">
        <f t="shared" si="0"/>
        <v>478.76987656331949</v>
      </c>
      <c r="D17" s="29">
        <f t="shared" si="1"/>
        <v>205.76987656331949</v>
      </c>
      <c r="E17" s="30">
        <f t="shared" si="2"/>
        <v>1.0910001547296868E-11</v>
      </c>
      <c r="F17" s="11">
        <v>31.135390199637001</v>
      </c>
      <c r="G17" s="35">
        <f t="shared" si="3"/>
        <v>3.1135390199637003</v>
      </c>
      <c r="H17" s="9">
        <v>-43.294736842105202</v>
      </c>
      <c r="I17" s="9">
        <f t="shared" si="4"/>
        <v>321.17792440952246</v>
      </c>
      <c r="J17" s="35">
        <f t="shared" si="5"/>
        <v>48.177924409522461</v>
      </c>
      <c r="K17" s="9">
        <f t="shared" si="6"/>
        <v>1.5751963399307875E-19</v>
      </c>
      <c r="L17" s="37">
        <f t="shared" si="7"/>
        <v>1.5751963399307874E-15</v>
      </c>
      <c r="M17" s="23">
        <v>3.3939737991266301</v>
      </c>
      <c r="N17" s="9">
        <v>1.1428602940791099</v>
      </c>
      <c r="O17" s="9">
        <f t="shared" si="8"/>
        <v>294.63987030699224</v>
      </c>
      <c r="P17" s="16">
        <f t="shared" si="9"/>
        <v>21.639870306992236</v>
      </c>
      <c r="Q17" s="21">
        <f t="shared" si="10"/>
        <v>1.14286029407911E-5</v>
      </c>
      <c r="R17" s="11"/>
      <c r="S17" s="9"/>
      <c r="T17" s="9"/>
      <c r="U17" s="13"/>
    </row>
    <row r="18" spans="1:21" x14ac:dyDescent="0.3">
      <c r="A18" s="48">
        <v>1.2485470646602801</v>
      </c>
      <c r="B18" s="9">
        <v>-7.1128477532658403</v>
      </c>
      <c r="C18" s="19">
        <f t="shared" si="0"/>
        <v>800.93096071800244</v>
      </c>
      <c r="D18" s="29">
        <f t="shared" si="1"/>
        <v>527.93096071800244</v>
      </c>
      <c r="E18" s="30">
        <f t="shared" si="2"/>
        <v>7.7117376517698983E-8</v>
      </c>
      <c r="F18" s="11">
        <v>31.734482758620601</v>
      </c>
      <c r="G18" s="35">
        <f t="shared" si="3"/>
        <v>3.1734482758620599</v>
      </c>
      <c r="H18" s="9">
        <v>-43.8</v>
      </c>
      <c r="I18" s="9">
        <f t="shared" si="4"/>
        <v>315.1146365315667</v>
      </c>
      <c r="J18" s="35">
        <f t="shared" si="5"/>
        <v>42.114636531566703</v>
      </c>
      <c r="K18" s="9">
        <f t="shared" si="6"/>
        <v>9.50389638092987E-20</v>
      </c>
      <c r="L18" s="37">
        <f t="shared" si="7"/>
        <v>9.5038963809298705E-16</v>
      </c>
      <c r="M18" s="23">
        <v>3.52153846153846</v>
      </c>
      <c r="N18" s="9">
        <v>1</v>
      </c>
      <c r="O18" s="9">
        <f t="shared" si="8"/>
        <v>283.96679772826576</v>
      </c>
      <c r="P18" s="16">
        <f t="shared" si="9"/>
        <v>10.96679772826576</v>
      </c>
      <c r="Q18" s="21">
        <f t="shared" si="10"/>
        <v>1.0000000000000001E-5</v>
      </c>
      <c r="R18" s="11"/>
      <c r="S18" s="9"/>
      <c r="T18" s="9"/>
      <c r="U18" s="13"/>
    </row>
    <row r="19" spans="1:21" x14ac:dyDescent="0.3">
      <c r="A19" s="48">
        <v>1.1240534471310499</v>
      </c>
      <c r="B19" s="9">
        <v>-6.6768552436231197</v>
      </c>
      <c r="C19" s="19">
        <f t="shared" si="0"/>
        <v>889.63741230661697</v>
      </c>
      <c r="D19" s="29">
        <f t="shared" si="1"/>
        <v>616.63741230661697</v>
      </c>
      <c r="E19" s="30">
        <f t="shared" si="2"/>
        <v>2.1044797751873878E-7</v>
      </c>
      <c r="F19" s="11">
        <v>32.5023593466424</v>
      </c>
      <c r="G19" s="35">
        <f t="shared" si="3"/>
        <v>3.2502359346642402</v>
      </c>
      <c r="H19" s="9">
        <v>-44.726315789473603</v>
      </c>
      <c r="I19" s="9">
        <f t="shared" si="4"/>
        <v>307.66997230411931</v>
      </c>
      <c r="J19" s="35">
        <f t="shared" si="5"/>
        <v>34.669972304119312</v>
      </c>
      <c r="K19" s="9">
        <f t="shared" si="6"/>
        <v>3.7636381038459202E-20</v>
      </c>
      <c r="L19" s="37">
        <f t="shared" si="7"/>
        <v>3.76363810384592E-16</v>
      </c>
      <c r="M19" s="23">
        <v>3.5320927107826599</v>
      </c>
      <c r="N19" s="9">
        <v>0.79859637708067599</v>
      </c>
      <c r="O19" s="9">
        <f t="shared" si="8"/>
        <v>283.11827629757056</v>
      </c>
      <c r="P19" s="16">
        <f t="shared" si="9"/>
        <v>10.11827629757056</v>
      </c>
      <c r="Q19" s="21">
        <f t="shared" si="10"/>
        <v>7.9859637708067599E-6</v>
      </c>
      <c r="R19" s="11"/>
      <c r="S19" s="9"/>
      <c r="T19" s="9"/>
      <c r="U19" s="13"/>
    </row>
    <row r="20" spans="1:21" x14ac:dyDescent="0.3">
      <c r="A20" s="48">
        <v>1.03292772998903</v>
      </c>
      <c r="B20" s="9">
        <v>-6.4394616492214896</v>
      </c>
      <c r="C20" s="19">
        <f t="shared" si="0"/>
        <v>968.12194209426468</v>
      </c>
      <c r="D20" s="29">
        <f t="shared" si="1"/>
        <v>695.12194209426468</v>
      </c>
      <c r="E20" s="30">
        <f t="shared" si="2"/>
        <v>3.6352840484293596E-7</v>
      </c>
      <c r="F20" s="11">
        <v>33.788929219600703</v>
      </c>
      <c r="G20" s="35">
        <f t="shared" si="3"/>
        <v>3.3788929219600705</v>
      </c>
      <c r="H20" s="9">
        <v>-45.484210526315699</v>
      </c>
      <c r="I20" s="9">
        <f t="shared" si="4"/>
        <v>295.95492461474851</v>
      </c>
      <c r="J20" s="35">
        <f t="shared" si="5"/>
        <v>22.954924614748506</v>
      </c>
      <c r="K20" s="9">
        <f t="shared" si="6"/>
        <v>1.7638366187964329E-20</v>
      </c>
      <c r="L20" s="37">
        <f t="shared" si="7"/>
        <v>1.7638366187964328E-16</v>
      </c>
      <c r="M20" s="23">
        <f>1000/O20</f>
        <v>0.93196644920782856</v>
      </c>
      <c r="N20" s="9"/>
      <c r="O20" s="19">
        <f>P20+273</f>
        <v>1073</v>
      </c>
      <c r="P20" s="16">
        <v>800</v>
      </c>
      <c r="Q20" s="17">
        <v>2.7E-4</v>
      </c>
      <c r="R20" s="11"/>
      <c r="S20" s="9"/>
      <c r="T20" s="9"/>
      <c r="U20" s="13"/>
    </row>
    <row r="21" spans="1:21" x14ac:dyDescent="0.3">
      <c r="A21" s="48">
        <v>1.00788128828176</v>
      </c>
      <c r="B21" s="9">
        <v>-6.2805526749677298</v>
      </c>
      <c r="C21" s="19">
        <f t="shared" si="0"/>
        <v>992.1803407073902</v>
      </c>
      <c r="D21" s="29">
        <f t="shared" si="1"/>
        <v>719.1803407073902</v>
      </c>
      <c r="E21" s="30">
        <f t="shared" si="2"/>
        <v>5.2414002494555973E-7</v>
      </c>
      <c r="F21" s="11">
        <v>34.296007259528103</v>
      </c>
      <c r="G21" s="35">
        <f t="shared" si="3"/>
        <v>3.4296007259528105</v>
      </c>
      <c r="H21" s="9">
        <v>-46.663157894736798</v>
      </c>
      <c r="I21" s="9">
        <f t="shared" si="4"/>
        <v>291.57913118944202</v>
      </c>
      <c r="J21" s="35">
        <f t="shared" si="5"/>
        <v>18.579131189442023</v>
      </c>
      <c r="K21" s="9">
        <f t="shared" si="6"/>
        <v>5.4256030695282295E-21</v>
      </c>
      <c r="L21" s="37">
        <f t="shared" si="7"/>
        <v>5.4256030695282292E-17</v>
      </c>
      <c r="M21" s="11"/>
      <c r="N21" s="9"/>
      <c r="O21" s="9"/>
      <c r="P21" s="9"/>
      <c r="Q21" s="13"/>
      <c r="R21" s="11"/>
      <c r="S21" s="9"/>
      <c r="T21" s="9"/>
      <c r="U21" s="13"/>
    </row>
    <row r="22" spans="1:21" x14ac:dyDescent="0.3">
      <c r="A22" s="48">
        <v>0.97443132222711304</v>
      </c>
      <c r="B22" s="9">
        <v>-6.0421146084348498</v>
      </c>
      <c r="C22" s="19">
        <f t="shared" si="0"/>
        <v>1026.2395893786013</v>
      </c>
      <c r="D22" s="29">
        <f t="shared" si="1"/>
        <v>753.23958937860129</v>
      </c>
      <c r="E22" s="30">
        <f t="shared" si="2"/>
        <v>9.0758099187580112E-7</v>
      </c>
      <c r="F22" s="11">
        <v>35.409437386569799</v>
      </c>
      <c r="G22" s="35">
        <f t="shared" si="3"/>
        <v>3.54094373865698</v>
      </c>
      <c r="H22" s="9">
        <v>-47.505263157894703</v>
      </c>
      <c r="I22" s="9">
        <f t="shared" si="4"/>
        <v>282.41058706549319</v>
      </c>
      <c r="J22" s="35">
        <f t="shared" si="5"/>
        <v>9.4105870654931891</v>
      </c>
      <c r="K22" s="9">
        <f t="shared" si="6"/>
        <v>2.3373639913759704E-21</v>
      </c>
      <c r="L22" s="37">
        <f t="shared" si="7"/>
        <v>2.3373639913759704E-17</v>
      </c>
      <c r="M22" s="11"/>
      <c r="N22" s="9"/>
      <c r="O22" s="9"/>
      <c r="P22" s="9"/>
      <c r="Q22" s="13"/>
      <c r="R22" s="11"/>
      <c r="S22" s="9"/>
      <c r="T22" s="9"/>
      <c r="U22" s="13"/>
    </row>
    <row r="23" spans="1:21" x14ac:dyDescent="0.3">
      <c r="A23" s="48">
        <v>0.94130961884227804</v>
      </c>
      <c r="B23" s="9">
        <v>-5.9630331470691296</v>
      </c>
      <c r="C23" s="19">
        <f t="shared" si="0"/>
        <v>1062.3497093654537</v>
      </c>
      <c r="D23" s="29">
        <f t="shared" si="1"/>
        <v>789.34970936545369</v>
      </c>
      <c r="E23" s="30">
        <f t="shared" si="2"/>
        <v>1.0888469850620415E-6</v>
      </c>
      <c r="F23" s="11">
        <v>38.660617059891102</v>
      </c>
      <c r="G23" s="35">
        <f t="shared" si="3"/>
        <v>3.86606170598911</v>
      </c>
      <c r="H23" s="9">
        <v>-50.368421052631497</v>
      </c>
      <c r="I23" s="9">
        <f t="shared" si="4"/>
        <v>258.66115857665949</v>
      </c>
      <c r="J23" s="35">
        <f t="shared" si="5"/>
        <v>-14.338841423340511</v>
      </c>
      <c r="K23" s="9">
        <f t="shared" si="6"/>
        <v>1.3343589553081311E-22</v>
      </c>
      <c r="L23" s="37">
        <f t="shared" si="7"/>
        <v>1.3343589553081312E-18</v>
      </c>
      <c r="M23" s="11"/>
      <c r="N23" s="9"/>
      <c r="O23" s="9"/>
      <c r="P23" s="9"/>
      <c r="Q23" s="13"/>
      <c r="R23" s="11"/>
      <c r="S23" s="9"/>
      <c r="T23" s="9"/>
      <c r="U23" s="13"/>
    </row>
    <row r="24" spans="1:21" x14ac:dyDescent="0.3">
      <c r="A24" s="29">
        <v>0.91626317713501404</v>
      </c>
      <c r="B24" s="9">
        <v>-5.8041241728153699</v>
      </c>
      <c r="C24" s="19">
        <f t="shared" si="0"/>
        <v>1091.3894882546906</v>
      </c>
      <c r="D24" s="29">
        <f t="shared" si="1"/>
        <v>818.3894882546906</v>
      </c>
      <c r="E24" s="30">
        <f t="shared" si="2"/>
        <v>1.5699138727794682E-6</v>
      </c>
      <c r="F24" s="11">
        <v>40.203629764065298</v>
      </c>
      <c r="G24" s="35">
        <f t="shared" si="3"/>
        <v>4.0203629764065294</v>
      </c>
      <c r="H24" s="9">
        <v>-51.378947368421002</v>
      </c>
      <c r="I24" s="9">
        <f t="shared" si="4"/>
        <v>248.73376007800604</v>
      </c>
      <c r="J24" s="35">
        <f t="shared" si="5"/>
        <v>-24.266239921993957</v>
      </c>
      <c r="K24" s="9">
        <f t="shared" si="6"/>
        <v>4.8574313551333972E-23</v>
      </c>
      <c r="L24" s="37">
        <f t="shared" si="7"/>
        <v>4.8574313551333974E-19</v>
      </c>
      <c r="M24" s="11"/>
      <c r="N24" s="9"/>
      <c r="O24" s="9"/>
      <c r="P24" s="9"/>
      <c r="Q24" s="13"/>
      <c r="R24" s="11"/>
      <c r="S24" s="9"/>
      <c r="T24" s="9"/>
      <c r="U24" s="13"/>
    </row>
    <row r="25" spans="1:21" x14ac:dyDescent="0.3">
      <c r="A25" s="9"/>
      <c r="B25" s="9"/>
      <c r="C25" s="9"/>
      <c r="D25" s="9"/>
      <c r="E25" s="13"/>
      <c r="F25" s="11">
        <v>41.913248638838397</v>
      </c>
      <c r="G25" s="35">
        <f t="shared" si="3"/>
        <v>4.1913248638838398</v>
      </c>
      <c r="H25" s="9">
        <v>-53.063157894736797</v>
      </c>
      <c r="I25" s="9">
        <f t="shared" si="4"/>
        <v>238.58804375124535</v>
      </c>
      <c r="J25" s="35">
        <f t="shared" si="5"/>
        <v>-34.411956248754649</v>
      </c>
      <c r="K25" s="9">
        <f t="shared" si="6"/>
        <v>9.0149502415294673E-24</v>
      </c>
      <c r="L25" s="37">
        <f t="shared" si="7"/>
        <v>9.0149502415294671E-20</v>
      </c>
      <c r="M25" s="11"/>
      <c r="N25" s="9"/>
      <c r="O25" s="9"/>
      <c r="P25" s="9"/>
      <c r="Q25" s="13"/>
      <c r="R25" s="11"/>
      <c r="S25" s="9"/>
      <c r="T25" s="9"/>
      <c r="U25" s="13"/>
    </row>
    <row r="26" spans="1:21" x14ac:dyDescent="0.3">
      <c r="A26" s="9"/>
      <c r="B26" s="9"/>
      <c r="C26" s="9"/>
      <c r="D26" s="9"/>
      <c r="E26" s="13"/>
      <c r="F26" s="11">
        <v>43.201270417422798</v>
      </c>
      <c r="G26" s="35">
        <f t="shared" si="3"/>
        <v>4.3201270417422801</v>
      </c>
      <c r="H26" s="9">
        <v>-53.6526315789473</v>
      </c>
      <c r="I26" s="9">
        <f t="shared" si="4"/>
        <v>231.47467431807431</v>
      </c>
      <c r="J26" s="35">
        <f t="shared" si="5"/>
        <v>-41.525325681925693</v>
      </c>
      <c r="K26" s="9">
        <f t="shared" si="6"/>
        <v>4.9998637042361657E-24</v>
      </c>
      <c r="L26" s="37">
        <f t="shared" si="7"/>
        <v>4.9998637042361658E-20</v>
      </c>
      <c r="M26" s="11"/>
      <c r="N26" s="9"/>
      <c r="O26" s="9"/>
      <c r="P26" s="9"/>
      <c r="Q26" s="13"/>
      <c r="R26" s="11"/>
      <c r="S26" s="9"/>
      <c r="T26" s="9"/>
      <c r="U26" s="13"/>
    </row>
  </sheetData>
  <mergeCells count="4">
    <mergeCell ref="A1:E1"/>
    <mergeCell ref="F1:L1"/>
    <mergeCell ref="M1:Q1"/>
    <mergeCell ref="R1:U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94E9-8F0F-4739-84FC-55C627C6FA2B}">
  <dimension ref="A1:AB32"/>
  <sheetViews>
    <sheetView topLeftCell="I8" zoomScaleNormal="100" workbookViewId="0">
      <selection activeCell="N1" sqref="N1:AB32"/>
    </sheetView>
  </sheetViews>
  <sheetFormatPr defaultRowHeight="14.4" x14ac:dyDescent="0.3"/>
  <cols>
    <col min="2" max="2" width="16.6640625" bestFit="1" customWidth="1"/>
    <col min="4" max="4" width="10.6640625" bestFit="1" customWidth="1"/>
    <col min="5" max="5" width="9.88671875" bestFit="1" customWidth="1"/>
    <col min="8" max="8" width="10.77734375" bestFit="1" customWidth="1"/>
    <col min="9" max="9" width="9.88671875" bestFit="1" customWidth="1"/>
    <col min="12" max="12" width="10.77734375" bestFit="1" customWidth="1"/>
    <col min="13" max="13" width="9.88671875" bestFit="1" customWidth="1"/>
    <col min="15" max="15" width="10.77734375" bestFit="1" customWidth="1"/>
    <col min="18" max="18" width="9.88671875" bestFit="1" customWidth="1"/>
    <col min="20" max="20" width="10.77734375" bestFit="1" customWidth="1"/>
    <col min="23" max="23" width="9.88671875" bestFit="1" customWidth="1"/>
    <col min="25" max="25" width="10.77734375" bestFit="1" customWidth="1"/>
    <col min="28" max="28" width="9.88671875" bestFit="1" customWidth="1"/>
  </cols>
  <sheetData>
    <row r="1" spans="1:28" ht="15" thickBot="1" x14ac:dyDescent="0.35">
      <c r="A1" s="53" t="s">
        <v>14</v>
      </c>
      <c r="B1" s="53"/>
      <c r="C1" s="53"/>
      <c r="D1" s="53"/>
      <c r="E1" s="54"/>
      <c r="F1" s="31" t="s">
        <v>16</v>
      </c>
      <c r="G1" s="32"/>
      <c r="H1" s="32"/>
      <c r="I1" s="33"/>
      <c r="J1" s="62" t="s">
        <v>20</v>
      </c>
      <c r="K1" s="63"/>
      <c r="L1" s="63"/>
      <c r="M1" s="64"/>
      <c r="N1" s="71" t="s">
        <v>22</v>
      </c>
      <c r="O1" s="72"/>
      <c r="P1" s="72"/>
      <c r="Q1" s="72"/>
      <c r="R1" s="73"/>
      <c r="S1" s="41" t="s">
        <v>23</v>
      </c>
      <c r="T1" s="49"/>
      <c r="U1" s="49"/>
      <c r="V1" s="49"/>
      <c r="W1" s="42"/>
      <c r="X1" s="38" t="s">
        <v>15</v>
      </c>
      <c r="Y1" s="39"/>
      <c r="Z1" s="39"/>
      <c r="AA1" s="39"/>
      <c r="AB1" s="40"/>
    </row>
    <row r="2" spans="1:28" x14ac:dyDescent="0.3">
      <c r="A2" s="55" t="s">
        <v>39</v>
      </c>
      <c r="B2" s="8" t="s">
        <v>45</v>
      </c>
      <c r="C2" s="8" t="s">
        <v>37</v>
      </c>
      <c r="D2" s="55" t="s">
        <v>38</v>
      </c>
      <c r="E2" s="57" t="s">
        <v>40</v>
      </c>
      <c r="F2" s="59" t="s">
        <v>39</v>
      </c>
      <c r="G2" s="8" t="s">
        <v>37</v>
      </c>
      <c r="H2" s="34" t="s">
        <v>38</v>
      </c>
      <c r="I2" s="36" t="s">
        <v>40</v>
      </c>
      <c r="J2" s="65" t="s">
        <v>39</v>
      </c>
      <c r="K2" s="18" t="s">
        <v>37</v>
      </c>
      <c r="L2" s="67" t="s">
        <v>38</v>
      </c>
      <c r="M2" s="68" t="s">
        <v>40</v>
      </c>
      <c r="N2" s="20" t="s">
        <v>37</v>
      </c>
      <c r="O2" s="74" t="s">
        <v>38</v>
      </c>
      <c r="P2" s="74" t="s">
        <v>39</v>
      </c>
      <c r="Q2" s="18" t="s">
        <v>43</v>
      </c>
      <c r="R2" s="76" t="s">
        <v>40</v>
      </c>
      <c r="S2" s="20" t="s">
        <v>37</v>
      </c>
      <c r="T2" s="50" t="s">
        <v>38</v>
      </c>
      <c r="U2" s="50" t="s">
        <v>39</v>
      </c>
      <c r="V2" s="18" t="s">
        <v>43</v>
      </c>
      <c r="W2" s="44" t="s">
        <v>40</v>
      </c>
      <c r="X2" s="20" t="s">
        <v>37</v>
      </c>
      <c r="Y2" s="14" t="s">
        <v>38</v>
      </c>
      <c r="Z2" s="14" t="s">
        <v>39</v>
      </c>
      <c r="AA2" s="18" t="s">
        <v>43</v>
      </c>
      <c r="AB2" s="15" t="s">
        <v>40</v>
      </c>
    </row>
    <row r="3" spans="1:28" x14ac:dyDescent="0.3">
      <c r="A3" s="56">
        <v>901</v>
      </c>
      <c r="B3" s="9">
        <v>50.4</v>
      </c>
      <c r="C3" s="9">
        <f>A3+273</f>
        <v>1174</v>
      </c>
      <c r="D3" s="56">
        <f>1000/C3</f>
        <v>0.85178875638841567</v>
      </c>
      <c r="E3" s="58">
        <f>B3*(10^-13)</f>
        <v>5.0400000000000003E-12</v>
      </c>
      <c r="F3" s="60">
        <v>1050</v>
      </c>
      <c r="G3" s="9">
        <f>F3+273</f>
        <v>1323</v>
      </c>
      <c r="H3" s="35">
        <f>1000/G3</f>
        <v>0.75585789871504161</v>
      </c>
      <c r="I3" s="61">
        <v>6.0099999999999996E-13</v>
      </c>
      <c r="J3" s="66">
        <v>1095</v>
      </c>
      <c r="K3" s="9">
        <f>J3+273</f>
        <v>1368</v>
      </c>
      <c r="L3" s="69">
        <f>1000/K3</f>
        <v>0.73099415204678364</v>
      </c>
      <c r="M3" s="70">
        <v>1.4999999999999999E-8</v>
      </c>
      <c r="N3" s="52">
        <v>1163</v>
      </c>
      <c r="O3" s="75">
        <f>1000/N3</f>
        <v>0.85984522785898543</v>
      </c>
      <c r="P3" s="75">
        <f>N3-273</f>
        <v>890</v>
      </c>
      <c r="Q3" s="10">
        <v>4.0400000000000002E-15</v>
      </c>
      <c r="R3" s="77">
        <f>Q3*(100^2)</f>
        <v>4.0400000000000004E-11</v>
      </c>
      <c r="S3" s="11">
        <v>1163</v>
      </c>
      <c r="T3" s="51">
        <f>1000/S3</f>
        <v>0.85984522785898543</v>
      </c>
      <c r="U3" s="51">
        <f>S3-273</f>
        <v>890</v>
      </c>
      <c r="V3" s="10">
        <v>2.7500000000000001E-15</v>
      </c>
      <c r="W3" s="78">
        <f>V3*(100^2)</f>
        <v>2.7500000000000002E-11</v>
      </c>
      <c r="X3" s="11">
        <v>1174</v>
      </c>
      <c r="Y3" s="16">
        <f>1000/X3</f>
        <v>0.85178875638841567</v>
      </c>
      <c r="Z3" s="16">
        <f>X3-273</f>
        <v>901</v>
      </c>
      <c r="AA3" s="10">
        <v>4.6699999999999998E-15</v>
      </c>
      <c r="AB3" s="17">
        <f>AA3*(100^2)</f>
        <v>4.6699999999999998E-11</v>
      </c>
    </row>
    <row r="4" spans="1:28" x14ac:dyDescent="0.3">
      <c r="A4" s="56">
        <v>870.3</v>
      </c>
      <c r="B4" s="9">
        <v>25.5</v>
      </c>
      <c r="C4" s="9">
        <f t="shared" ref="C4:C8" si="0">A4+273</f>
        <v>1143.3</v>
      </c>
      <c r="D4" s="56">
        <f t="shared" ref="D4:D8" si="1">1000/C4</f>
        <v>0.87466106883582617</v>
      </c>
      <c r="E4" s="58">
        <f t="shared" ref="E4:E8" si="2">B4*(10^-13)</f>
        <v>2.5500000000000002E-12</v>
      </c>
      <c r="F4" s="60">
        <v>1000</v>
      </c>
      <c r="G4" s="9">
        <f t="shared" ref="G4:G28" si="3">F4+273</f>
        <v>1273</v>
      </c>
      <c r="H4" s="35">
        <f t="shared" ref="H4:H28" si="4">1000/G4</f>
        <v>0.78554595443833464</v>
      </c>
      <c r="I4" s="61">
        <v>2.37E-13</v>
      </c>
      <c r="J4" s="66">
        <v>1194</v>
      </c>
      <c r="K4" s="9">
        <f t="shared" ref="K4:K13" si="5">J4+273</f>
        <v>1467</v>
      </c>
      <c r="L4" s="69">
        <f t="shared" ref="L4:L13" si="6">1000/K4</f>
        <v>0.68166325835037489</v>
      </c>
      <c r="M4" s="70">
        <v>2.4E-8</v>
      </c>
      <c r="N4" s="52">
        <v>1148</v>
      </c>
      <c r="O4" s="75">
        <f t="shared" ref="O4:O22" si="7">1000/N4</f>
        <v>0.87108013937282225</v>
      </c>
      <c r="P4" s="75">
        <f t="shared" ref="P4:P22" si="8">N4-273</f>
        <v>875</v>
      </c>
      <c r="Q4" s="10">
        <v>3.6099999999999999E-15</v>
      </c>
      <c r="R4" s="77">
        <f t="shared" ref="R4:R22" si="9">Q4*(100^2)</f>
        <v>3.6099999999999997E-11</v>
      </c>
      <c r="S4" s="11">
        <v>1163</v>
      </c>
      <c r="T4" s="51">
        <f t="shared" ref="T4:T24" si="10">1000/S4</f>
        <v>0.85984522785898543</v>
      </c>
      <c r="U4" s="51">
        <f t="shared" ref="U4:U24" si="11">S4-273</f>
        <v>890</v>
      </c>
      <c r="V4" s="10">
        <v>2.9700000000000001E-15</v>
      </c>
      <c r="W4" s="78">
        <f t="shared" ref="W4:W24" si="12">V4*(100^2)</f>
        <v>2.9699999999999998E-11</v>
      </c>
      <c r="X4" s="11">
        <v>1171</v>
      </c>
      <c r="Y4" s="16">
        <f t="shared" ref="Y4:Y32" si="13">1000/X4</f>
        <v>0.85397096498719038</v>
      </c>
      <c r="Z4" s="16">
        <f t="shared" ref="Z4:Z32" si="14">X4-273</f>
        <v>898</v>
      </c>
      <c r="AA4" s="10">
        <v>4.76E-15</v>
      </c>
      <c r="AB4" s="17">
        <f t="shared" ref="AB4:AB32" si="15">AA4*(100^2)</f>
        <v>4.7600000000000002E-11</v>
      </c>
    </row>
    <row r="5" spans="1:28" x14ac:dyDescent="0.3">
      <c r="A5" s="56">
        <v>839.7</v>
      </c>
      <c r="B5" s="9">
        <v>12.3</v>
      </c>
      <c r="C5" s="9">
        <f t="shared" si="0"/>
        <v>1112.7</v>
      </c>
      <c r="D5" s="56">
        <f t="shared" si="1"/>
        <v>0.8987148377819717</v>
      </c>
      <c r="E5" s="58">
        <f t="shared" si="2"/>
        <v>1.23E-12</v>
      </c>
      <c r="F5" s="60">
        <v>960</v>
      </c>
      <c r="G5" s="9">
        <f t="shared" si="3"/>
        <v>1233</v>
      </c>
      <c r="H5" s="35">
        <f t="shared" si="4"/>
        <v>0.81103000811030013</v>
      </c>
      <c r="I5" s="61">
        <v>1.31E-13</v>
      </c>
      <c r="J5" s="66">
        <v>1201</v>
      </c>
      <c r="K5" s="9">
        <f t="shared" si="5"/>
        <v>1474</v>
      </c>
      <c r="L5" s="69">
        <f t="shared" si="6"/>
        <v>0.67842605156037994</v>
      </c>
      <c r="M5" s="70">
        <v>4.1999999999999999E-8</v>
      </c>
      <c r="N5" s="52">
        <v>1133</v>
      </c>
      <c r="O5" s="75">
        <f t="shared" si="7"/>
        <v>0.88261253309796994</v>
      </c>
      <c r="P5" s="75">
        <f t="shared" si="8"/>
        <v>860</v>
      </c>
      <c r="Q5" s="10">
        <v>2.0700000000000001E-15</v>
      </c>
      <c r="R5" s="77">
        <f t="shared" si="9"/>
        <v>2.07E-11</v>
      </c>
      <c r="S5" s="11">
        <v>1143</v>
      </c>
      <c r="T5" s="51">
        <f t="shared" si="10"/>
        <v>0.87489063867016625</v>
      </c>
      <c r="U5" s="51">
        <f t="shared" si="11"/>
        <v>870</v>
      </c>
      <c r="V5" s="10">
        <v>1.64E-15</v>
      </c>
      <c r="W5" s="78">
        <f t="shared" si="12"/>
        <v>1.64E-11</v>
      </c>
      <c r="X5" s="11">
        <v>1155</v>
      </c>
      <c r="Y5" s="16">
        <f t="shared" si="13"/>
        <v>0.86580086580086579</v>
      </c>
      <c r="Z5" s="16">
        <f t="shared" si="14"/>
        <v>882</v>
      </c>
      <c r="AA5" s="10">
        <v>3.3100000000000001E-15</v>
      </c>
      <c r="AB5" s="17">
        <f t="shared" si="15"/>
        <v>3.3100000000000001E-11</v>
      </c>
    </row>
    <row r="6" spans="1:28" x14ac:dyDescent="0.3">
      <c r="A6" s="56">
        <v>839.7</v>
      </c>
      <c r="B6" s="9">
        <v>11.8</v>
      </c>
      <c r="C6" s="9">
        <f t="shared" si="0"/>
        <v>1112.7</v>
      </c>
      <c r="D6" s="56">
        <f t="shared" si="1"/>
        <v>0.8987148377819717</v>
      </c>
      <c r="E6" s="58">
        <f t="shared" si="2"/>
        <v>1.18E-12</v>
      </c>
      <c r="F6" s="60">
        <v>930</v>
      </c>
      <c r="G6" s="9">
        <f t="shared" si="3"/>
        <v>1203</v>
      </c>
      <c r="H6" s="35">
        <f t="shared" si="4"/>
        <v>0.83125519534497094</v>
      </c>
      <c r="I6" s="61">
        <v>4.2500000000000001E-13</v>
      </c>
      <c r="J6" s="66">
        <v>1202</v>
      </c>
      <c r="K6" s="9">
        <f t="shared" si="5"/>
        <v>1475</v>
      </c>
      <c r="L6" s="69">
        <f t="shared" si="6"/>
        <v>0.67796610169491522</v>
      </c>
      <c r="M6" s="70">
        <v>3.2000000000000002E-8</v>
      </c>
      <c r="N6" s="52">
        <v>1123</v>
      </c>
      <c r="O6" s="75">
        <f t="shared" si="7"/>
        <v>0.89047195013357083</v>
      </c>
      <c r="P6" s="75">
        <f t="shared" si="8"/>
        <v>850</v>
      </c>
      <c r="Q6" s="10">
        <v>1.4999999999999999E-15</v>
      </c>
      <c r="R6" s="77">
        <f t="shared" si="9"/>
        <v>1.5E-11</v>
      </c>
      <c r="S6" s="11">
        <v>1123</v>
      </c>
      <c r="T6" s="51">
        <f t="shared" si="10"/>
        <v>0.89047195013357083</v>
      </c>
      <c r="U6" s="51">
        <f t="shared" si="11"/>
        <v>850</v>
      </c>
      <c r="V6" s="10">
        <v>1.19E-15</v>
      </c>
      <c r="W6" s="78">
        <f t="shared" si="12"/>
        <v>1.1900000000000001E-11</v>
      </c>
      <c r="X6" s="11">
        <v>1152</v>
      </c>
      <c r="Y6" s="16">
        <f t="shared" si="13"/>
        <v>0.86805555555555558</v>
      </c>
      <c r="Z6" s="16">
        <f t="shared" si="14"/>
        <v>879</v>
      </c>
      <c r="AA6" s="10">
        <v>2.6099999999999998E-15</v>
      </c>
      <c r="AB6" s="17">
        <f t="shared" si="15"/>
        <v>2.6099999999999999E-11</v>
      </c>
    </row>
    <row r="7" spans="1:28" x14ac:dyDescent="0.3">
      <c r="A7" s="56">
        <v>809</v>
      </c>
      <c r="B7" s="9">
        <v>5.7</v>
      </c>
      <c r="C7" s="9">
        <f t="shared" si="0"/>
        <v>1082</v>
      </c>
      <c r="D7" s="56">
        <f t="shared" si="1"/>
        <v>0.92421441774491686</v>
      </c>
      <c r="E7" s="58">
        <f t="shared" si="2"/>
        <v>5.6999999999999999E-13</v>
      </c>
      <c r="F7" s="60">
        <v>900</v>
      </c>
      <c r="G7" s="9">
        <f t="shared" si="3"/>
        <v>1173</v>
      </c>
      <c r="H7" s="35">
        <f t="shared" si="4"/>
        <v>0.85251491901108267</v>
      </c>
      <c r="I7" s="61">
        <v>5.2300000000000003E-11</v>
      </c>
      <c r="J7" s="66">
        <v>1249</v>
      </c>
      <c r="K7" s="9">
        <f t="shared" si="5"/>
        <v>1522</v>
      </c>
      <c r="L7" s="69">
        <f t="shared" si="6"/>
        <v>0.65703022339027595</v>
      </c>
      <c r="M7" s="70">
        <v>4.9999999999999998E-8</v>
      </c>
      <c r="N7" s="52">
        <v>1123</v>
      </c>
      <c r="O7" s="75">
        <f t="shared" si="7"/>
        <v>0.89047195013357083</v>
      </c>
      <c r="P7" s="75">
        <f t="shared" si="8"/>
        <v>850</v>
      </c>
      <c r="Q7" s="10">
        <v>1.5599999999999999E-15</v>
      </c>
      <c r="R7" s="77">
        <f t="shared" si="9"/>
        <v>1.56E-11</v>
      </c>
      <c r="S7" s="11">
        <v>1103</v>
      </c>
      <c r="T7" s="51">
        <f t="shared" si="10"/>
        <v>0.90661831368993651</v>
      </c>
      <c r="U7" s="51">
        <f t="shared" si="11"/>
        <v>830</v>
      </c>
      <c r="V7" s="10">
        <v>6.5700000000000003E-16</v>
      </c>
      <c r="W7" s="78">
        <f t="shared" si="12"/>
        <v>6.5700000000000005E-12</v>
      </c>
      <c r="X7" s="11">
        <v>1149</v>
      </c>
      <c r="Y7" s="16">
        <f t="shared" si="13"/>
        <v>0.8703220191470844</v>
      </c>
      <c r="Z7" s="16">
        <f t="shared" si="14"/>
        <v>876</v>
      </c>
      <c r="AA7" s="10">
        <v>2.3499999999999999E-15</v>
      </c>
      <c r="AB7" s="17">
        <f t="shared" si="15"/>
        <v>2.35E-11</v>
      </c>
    </row>
    <row r="8" spans="1:28" x14ac:dyDescent="0.3">
      <c r="A8" s="56">
        <v>778.3</v>
      </c>
      <c r="B8" s="9">
        <v>2.0699999999999998</v>
      </c>
      <c r="C8" s="9">
        <f t="shared" si="0"/>
        <v>1051.3</v>
      </c>
      <c r="D8" s="56">
        <f t="shared" si="1"/>
        <v>0.95120327213925615</v>
      </c>
      <c r="E8" s="58">
        <f t="shared" si="2"/>
        <v>2.07E-13</v>
      </c>
      <c r="F8" s="60">
        <v>900</v>
      </c>
      <c r="G8" s="9">
        <f t="shared" si="3"/>
        <v>1173</v>
      </c>
      <c r="H8" s="35">
        <f t="shared" si="4"/>
        <v>0.85251491901108267</v>
      </c>
      <c r="I8" s="61">
        <v>4.1499999999999999E-11</v>
      </c>
      <c r="J8" s="66">
        <v>1255</v>
      </c>
      <c r="K8" s="9">
        <f t="shared" si="5"/>
        <v>1528</v>
      </c>
      <c r="L8" s="69">
        <f t="shared" si="6"/>
        <v>0.65445026178010468</v>
      </c>
      <c r="M8" s="70">
        <v>5.7000000000000001E-8</v>
      </c>
      <c r="N8" s="52">
        <v>1103</v>
      </c>
      <c r="O8" s="75">
        <f t="shared" si="7"/>
        <v>0.90661831368993651</v>
      </c>
      <c r="P8" s="75">
        <f t="shared" si="8"/>
        <v>830</v>
      </c>
      <c r="Q8" s="10">
        <v>9.7799999999999992E-16</v>
      </c>
      <c r="R8" s="77">
        <f t="shared" si="9"/>
        <v>9.7799999999999991E-12</v>
      </c>
      <c r="S8" s="11">
        <v>1103</v>
      </c>
      <c r="T8" s="51">
        <f t="shared" si="10"/>
        <v>0.90661831368993651</v>
      </c>
      <c r="U8" s="51">
        <f t="shared" si="11"/>
        <v>830</v>
      </c>
      <c r="V8" s="10">
        <v>6.7400000000000001E-16</v>
      </c>
      <c r="W8" s="78">
        <f t="shared" si="12"/>
        <v>6.74E-12</v>
      </c>
      <c r="X8" s="11">
        <v>1141</v>
      </c>
      <c r="Y8" s="16">
        <f t="shared" si="13"/>
        <v>0.87642418930762489</v>
      </c>
      <c r="Z8" s="16">
        <f t="shared" si="14"/>
        <v>868</v>
      </c>
      <c r="AA8" s="10">
        <v>2.0799999999999999E-15</v>
      </c>
      <c r="AB8" s="17">
        <f t="shared" si="15"/>
        <v>2.0799999999999999E-11</v>
      </c>
    </row>
    <row r="9" spans="1:28" x14ac:dyDescent="0.3">
      <c r="A9" s="9"/>
      <c r="B9" s="9"/>
      <c r="C9" s="9"/>
      <c r="D9" s="9"/>
      <c r="E9" s="13"/>
      <c r="F9" s="60">
        <v>870</v>
      </c>
      <c r="G9" s="9">
        <f t="shared" si="3"/>
        <v>1143</v>
      </c>
      <c r="H9" s="35">
        <f t="shared" si="4"/>
        <v>0.87489063867016625</v>
      </c>
      <c r="I9" s="61">
        <v>2.7E-11</v>
      </c>
      <c r="J9" s="66">
        <v>1284</v>
      </c>
      <c r="K9" s="9">
        <f t="shared" si="5"/>
        <v>1557</v>
      </c>
      <c r="L9" s="69">
        <f t="shared" si="6"/>
        <v>0.64226075786769432</v>
      </c>
      <c r="M9" s="70">
        <v>1.3E-7</v>
      </c>
      <c r="N9" s="52">
        <v>1103</v>
      </c>
      <c r="O9" s="75">
        <f t="shared" si="7"/>
        <v>0.90661831368993651</v>
      </c>
      <c r="P9" s="75">
        <f t="shared" si="8"/>
        <v>830</v>
      </c>
      <c r="Q9" s="10">
        <v>1.0000000000000001E-15</v>
      </c>
      <c r="R9" s="77">
        <f t="shared" si="9"/>
        <v>1.0000000000000001E-11</v>
      </c>
      <c r="S9" s="11">
        <v>1088</v>
      </c>
      <c r="T9" s="51">
        <f t="shared" si="10"/>
        <v>0.91911764705882348</v>
      </c>
      <c r="U9" s="51">
        <f t="shared" si="11"/>
        <v>815</v>
      </c>
      <c r="V9" s="10">
        <v>3.9500000000000001E-16</v>
      </c>
      <c r="W9" s="78">
        <f t="shared" si="12"/>
        <v>3.9499999999999999E-12</v>
      </c>
      <c r="X9" s="11">
        <v>1125</v>
      </c>
      <c r="Y9" s="16">
        <f t="shared" si="13"/>
        <v>0.88888888888888884</v>
      </c>
      <c r="Z9" s="16">
        <f t="shared" si="14"/>
        <v>852</v>
      </c>
      <c r="AA9" s="10">
        <v>1.3899999999999999E-15</v>
      </c>
      <c r="AB9" s="17">
        <f t="shared" si="15"/>
        <v>1.3899999999999999E-11</v>
      </c>
    </row>
    <row r="10" spans="1:28" x14ac:dyDescent="0.3">
      <c r="A10" s="9"/>
      <c r="B10" s="9"/>
      <c r="C10" s="9"/>
      <c r="D10" s="9"/>
      <c r="E10" s="13"/>
      <c r="F10" s="60">
        <v>870</v>
      </c>
      <c r="G10" s="9">
        <f t="shared" si="3"/>
        <v>1143</v>
      </c>
      <c r="H10" s="35">
        <f t="shared" si="4"/>
        <v>0.87489063867016625</v>
      </c>
      <c r="I10" s="61">
        <v>2.7299999999999999E-11</v>
      </c>
      <c r="J10" s="66">
        <v>1300</v>
      </c>
      <c r="K10" s="9">
        <f t="shared" si="5"/>
        <v>1573</v>
      </c>
      <c r="L10" s="69">
        <f t="shared" si="6"/>
        <v>0.63572790845518123</v>
      </c>
      <c r="M10" s="70">
        <v>8.9999999999999999E-8</v>
      </c>
      <c r="N10" s="52">
        <v>1083</v>
      </c>
      <c r="O10" s="75">
        <f t="shared" si="7"/>
        <v>0.92336103416435822</v>
      </c>
      <c r="P10" s="75">
        <f t="shared" si="8"/>
        <v>810</v>
      </c>
      <c r="Q10" s="10">
        <v>5.4200000000000003E-16</v>
      </c>
      <c r="R10" s="77">
        <f t="shared" si="9"/>
        <v>5.4199999999999999E-12</v>
      </c>
      <c r="S10" s="11">
        <v>1073</v>
      </c>
      <c r="T10" s="51">
        <f t="shared" si="10"/>
        <v>0.93196644920782856</v>
      </c>
      <c r="U10" s="51">
        <f t="shared" si="11"/>
        <v>800</v>
      </c>
      <c r="V10" s="10">
        <v>2.8699999999999998E-16</v>
      </c>
      <c r="W10" s="78">
        <f t="shared" si="12"/>
        <v>2.8699999999999997E-12</v>
      </c>
      <c r="X10" s="11">
        <v>1110</v>
      </c>
      <c r="Y10" s="16">
        <f t="shared" si="13"/>
        <v>0.90090090090090091</v>
      </c>
      <c r="Z10" s="16">
        <f t="shared" si="14"/>
        <v>837</v>
      </c>
      <c r="AA10" s="10">
        <v>1.14E-15</v>
      </c>
      <c r="AB10" s="17">
        <f t="shared" si="15"/>
        <v>1.1399999999999999E-11</v>
      </c>
    </row>
    <row r="11" spans="1:28" x14ac:dyDescent="0.3">
      <c r="A11" s="9"/>
      <c r="B11" s="9"/>
      <c r="C11" s="9"/>
      <c r="D11" s="9"/>
      <c r="E11" s="13"/>
      <c r="F11" s="60">
        <v>840</v>
      </c>
      <c r="G11" s="9">
        <f t="shared" si="3"/>
        <v>1113</v>
      </c>
      <c r="H11" s="35">
        <f t="shared" si="4"/>
        <v>0.89847259658580414</v>
      </c>
      <c r="I11" s="61">
        <v>1.31E-11</v>
      </c>
      <c r="J11" s="66">
        <v>1306</v>
      </c>
      <c r="K11" s="9">
        <f t="shared" si="5"/>
        <v>1579</v>
      </c>
      <c r="L11" s="69">
        <f t="shared" si="6"/>
        <v>0.6333122229259025</v>
      </c>
      <c r="M11" s="70">
        <v>1.1000000000000001E-7</v>
      </c>
      <c r="N11" s="52">
        <v>1073</v>
      </c>
      <c r="O11" s="75">
        <f t="shared" si="7"/>
        <v>0.93196644920782856</v>
      </c>
      <c r="P11" s="75">
        <f t="shared" si="8"/>
        <v>800</v>
      </c>
      <c r="Q11" s="10">
        <v>3.8600000000000001E-16</v>
      </c>
      <c r="R11" s="77">
        <f t="shared" si="9"/>
        <v>3.8600000000000001E-12</v>
      </c>
      <c r="S11" s="11">
        <v>1063</v>
      </c>
      <c r="T11" s="51">
        <f t="shared" si="10"/>
        <v>0.94073377234242705</v>
      </c>
      <c r="U11" s="51">
        <f t="shared" si="11"/>
        <v>790</v>
      </c>
      <c r="V11" s="10">
        <v>1.8400000000000001E-16</v>
      </c>
      <c r="W11" s="78">
        <f t="shared" si="12"/>
        <v>1.8400000000000002E-12</v>
      </c>
      <c r="X11" s="11">
        <v>1107</v>
      </c>
      <c r="Y11" s="16">
        <f t="shared" si="13"/>
        <v>0.90334236675700086</v>
      </c>
      <c r="Z11" s="16">
        <f t="shared" si="14"/>
        <v>834</v>
      </c>
      <c r="AA11" s="10">
        <v>9.1999999999999996E-16</v>
      </c>
      <c r="AB11" s="17">
        <f t="shared" si="15"/>
        <v>9.1999999999999996E-12</v>
      </c>
    </row>
    <row r="12" spans="1:28" x14ac:dyDescent="0.3">
      <c r="A12" s="9"/>
      <c r="B12" s="9"/>
      <c r="C12" s="9"/>
      <c r="D12" s="9"/>
      <c r="E12" s="13"/>
      <c r="F12" s="60">
        <v>840</v>
      </c>
      <c r="G12" s="9">
        <f t="shared" si="3"/>
        <v>1113</v>
      </c>
      <c r="H12" s="35">
        <f t="shared" si="4"/>
        <v>0.89847259658580414</v>
      </c>
      <c r="I12" s="61">
        <v>1.24E-11</v>
      </c>
      <c r="J12" s="66">
        <v>1344</v>
      </c>
      <c r="K12" s="9">
        <f t="shared" si="5"/>
        <v>1617</v>
      </c>
      <c r="L12" s="69">
        <f t="shared" si="6"/>
        <v>0.6184291898577613</v>
      </c>
      <c r="M12" s="70">
        <v>1.1999999999999999E-7</v>
      </c>
      <c r="N12" s="52">
        <v>1053</v>
      </c>
      <c r="O12" s="75">
        <f t="shared" si="7"/>
        <v>0.94966761633428298</v>
      </c>
      <c r="P12" s="75">
        <f t="shared" si="8"/>
        <v>780</v>
      </c>
      <c r="Q12" s="10">
        <v>1.53E-16</v>
      </c>
      <c r="R12" s="77">
        <f t="shared" si="9"/>
        <v>1.5299999999999999E-12</v>
      </c>
      <c r="S12" s="11">
        <v>1050</v>
      </c>
      <c r="T12" s="51">
        <f t="shared" si="10"/>
        <v>0.95238095238095233</v>
      </c>
      <c r="U12" s="51">
        <f t="shared" si="11"/>
        <v>777</v>
      </c>
      <c r="V12" s="10">
        <v>1.26E-16</v>
      </c>
      <c r="W12" s="78">
        <f t="shared" si="12"/>
        <v>1.2600000000000001E-12</v>
      </c>
      <c r="X12" s="11">
        <v>1095</v>
      </c>
      <c r="Y12" s="16">
        <f t="shared" si="13"/>
        <v>0.91324200913242004</v>
      </c>
      <c r="Z12" s="16">
        <f t="shared" si="14"/>
        <v>822</v>
      </c>
      <c r="AA12" s="10">
        <v>6.4699999999999996E-16</v>
      </c>
      <c r="AB12" s="17">
        <f t="shared" si="15"/>
        <v>6.4699999999999997E-12</v>
      </c>
    </row>
    <row r="13" spans="1:28" x14ac:dyDescent="0.3">
      <c r="A13" s="9"/>
      <c r="B13" s="9"/>
      <c r="C13" s="9"/>
      <c r="D13" s="9"/>
      <c r="E13" s="13"/>
      <c r="F13" s="60">
        <v>810</v>
      </c>
      <c r="G13" s="9">
        <f t="shared" si="3"/>
        <v>1083</v>
      </c>
      <c r="H13" s="35">
        <f t="shared" si="4"/>
        <v>0.92336103416435822</v>
      </c>
      <c r="I13" s="61">
        <v>8.5600000000000007E-12</v>
      </c>
      <c r="J13" s="66">
        <v>1347</v>
      </c>
      <c r="K13" s="9">
        <f t="shared" si="5"/>
        <v>1620</v>
      </c>
      <c r="L13" s="69">
        <f t="shared" si="6"/>
        <v>0.61728395061728392</v>
      </c>
      <c r="M13" s="70">
        <v>1.3E-7</v>
      </c>
      <c r="N13" s="52">
        <v>1033</v>
      </c>
      <c r="O13" s="75">
        <f t="shared" si="7"/>
        <v>0.96805421103581801</v>
      </c>
      <c r="P13" s="75">
        <f t="shared" si="8"/>
        <v>760</v>
      </c>
      <c r="Q13" s="10">
        <v>5.4799999999999998E-17</v>
      </c>
      <c r="R13" s="77">
        <f t="shared" si="9"/>
        <v>5.4799999999999999E-13</v>
      </c>
      <c r="S13" s="11">
        <v>1041</v>
      </c>
      <c r="T13" s="51">
        <f t="shared" si="10"/>
        <v>0.96061479346781942</v>
      </c>
      <c r="U13" s="51">
        <f t="shared" si="11"/>
        <v>768</v>
      </c>
      <c r="V13" s="10">
        <v>8.8100000000000004E-17</v>
      </c>
      <c r="W13" s="78">
        <f t="shared" si="12"/>
        <v>8.8100000000000008E-13</v>
      </c>
      <c r="X13" s="11">
        <v>1087</v>
      </c>
      <c r="Y13" s="16">
        <f t="shared" si="13"/>
        <v>0.91996320147194111</v>
      </c>
      <c r="Z13" s="16">
        <f t="shared" si="14"/>
        <v>814</v>
      </c>
      <c r="AA13" s="10">
        <v>4.1700000000000002E-16</v>
      </c>
      <c r="AB13" s="17">
        <f t="shared" si="15"/>
        <v>4.1700000000000002E-12</v>
      </c>
    </row>
    <row r="14" spans="1:28" x14ac:dyDescent="0.3">
      <c r="A14" s="9"/>
      <c r="B14" s="9"/>
      <c r="C14" s="9"/>
      <c r="D14" s="9"/>
      <c r="E14" s="13"/>
      <c r="F14" s="60">
        <v>810</v>
      </c>
      <c r="G14" s="9">
        <f t="shared" si="3"/>
        <v>1083</v>
      </c>
      <c r="H14" s="35">
        <f t="shared" si="4"/>
        <v>0.92336103416435822</v>
      </c>
      <c r="I14" s="61">
        <v>5.2599999999999998E-12</v>
      </c>
      <c r="J14" s="11"/>
      <c r="K14" s="9"/>
      <c r="L14" s="9"/>
      <c r="M14" s="13"/>
      <c r="N14" s="52">
        <v>993</v>
      </c>
      <c r="O14" s="75">
        <f t="shared" si="7"/>
        <v>1.0070493454179255</v>
      </c>
      <c r="P14" s="75">
        <f t="shared" si="8"/>
        <v>720</v>
      </c>
      <c r="Q14" s="10">
        <v>1.5799999999999999E-17</v>
      </c>
      <c r="R14" s="77">
        <f t="shared" si="9"/>
        <v>1.5799999999999998E-13</v>
      </c>
      <c r="S14" s="11">
        <v>1033</v>
      </c>
      <c r="T14" s="51">
        <f t="shared" si="10"/>
        <v>0.96805421103581801</v>
      </c>
      <c r="U14" s="51">
        <f t="shared" si="11"/>
        <v>760</v>
      </c>
      <c r="V14" s="10">
        <v>5.3700000000000002E-17</v>
      </c>
      <c r="W14" s="78">
        <f t="shared" si="12"/>
        <v>5.3700000000000003E-13</v>
      </c>
      <c r="X14" s="11">
        <v>1074</v>
      </c>
      <c r="Y14" s="16">
        <f t="shared" si="13"/>
        <v>0.93109869646182497</v>
      </c>
      <c r="Z14" s="16">
        <f t="shared" si="14"/>
        <v>801</v>
      </c>
      <c r="AA14" s="10">
        <v>3.5600000000000002E-16</v>
      </c>
      <c r="AB14" s="17">
        <f t="shared" si="15"/>
        <v>3.5600000000000002E-12</v>
      </c>
    </row>
    <row r="15" spans="1:28" x14ac:dyDescent="0.3">
      <c r="A15" s="9"/>
      <c r="B15" s="9"/>
      <c r="C15" s="9"/>
      <c r="D15" s="9"/>
      <c r="E15" s="13"/>
      <c r="F15" s="60">
        <v>780</v>
      </c>
      <c r="G15" s="9">
        <f t="shared" si="3"/>
        <v>1053</v>
      </c>
      <c r="H15" s="35">
        <f t="shared" si="4"/>
        <v>0.94966761633428298</v>
      </c>
      <c r="I15" s="61">
        <v>1.4100000000000001E-12</v>
      </c>
      <c r="J15" s="11"/>
      <c r="K15" s="9"/>
      <c r="L15" s="9"/>
      <c r="M15" s="13"/>
      <c r="N15" s="52">
        <v>983</v>
      </c>
      <c r="O15" s="75">
        <f t="shared" si="7"/>
        <v>1.0172939979654121</v>
      </c>
      <c r="P15" s="75">
        <f t="shared" si="8"/>
        <v>710</v>
      </c>
      <c r="Q15" s="10">
        <v>1.4299999999999999E-17</v>
      </c>
      <c r="R15" s="77">
        <f t="shared" si="9"/>
        <v>1.43E-13</v>
      </c>
      <c r="S15" s="11">
        <v>1023</v>
      </c>
      <c r="T15" s="51">
        <f t="shared" si="10"/>
        <v>0.97751710654936463</v>
      </c>
      <c r="U15" s="51">
        <f t="shared" si="11"/>
        <v>750</v>
      </c>
      <c r="V15" s="10">
        <v>3.7400000000000001E-17</v>
      </c>
      <c r="W15" s="78">
        <f t="shared" si="12"/>
        <v>3.7400000000000002E-13</v>
      </c>
      <c r="X15" s="11">
        <v>1062</v>
      </c>
      <c r="Y15" s="16">
        <f t="shared" si="13"/>
        <v>0.94161958568738224</v>
      </c>
      <c r="Z15" s="16">
        <f t="shared" si="14"/>
        <v>789</v>
      </c>
      <c r="AA15" s="10">
        <v>2.9299999999999998E-16</v>
      </c>
      <c r="AB15" s="17">
        <f t="shared" si="15"/>
        <v>2.9299999999999998E-12</v>
      </c>
    </row>
    <row r="16" spans="1:28" x14ac:dyDescent="0.3">
      <c r="A16" s="9"/>
      <c r="B16" s="9"/>
      <c r="C16" s="9"/>
      <c r="D16" s="9"/>
      <c r="E16" s="13"/>
      <c r="F16" s="60">
        <v>780</v>
      </c>
      <c r="G16" s="9">
        <f t="shared" si="3"/>
        <v>1053</v>
      </c>
      <c r="H16" s="35">
        <f t="shared" si="4"/>
        <v>0.94966761633428298</v>
      </c>
      <c r="I16" s="61">
        <v>1.0700000000000001E-12</v>
      </c>
      <c r="J16" s="11"/>
      <c r="K16" s="9"/>
      <c r="L16" s="9"/>
      <c r="M16" s="13"/>
      <c r="N16" s="52">
        <v>973</v>
      </c>
      <c r="O16" s="75">
        <f t="shared" si="7"/>
        <v>1.0277492291880781</v>
      </c>
      <c r="P16" s="75">
        <f t="shared" si="8"/>
        <v>700</v>
      </c>
      <c r="Q16" s="10">
        <v>7.2900000000000005E-18</v>
      </c>
      <c r="R16" s="77">
        <f t="shared" si="9"/>
        <v>7.290000000000001E-14</v>
      </c>
      <c r="S16" s="11">
        <v>993</v>
      </c>
      <c r="T16" s="51">
        <f t="shared" si="10"/>
        <v>1.0070493454179255</v>
      </c>
      <c r="U16" s="51">
        <f t="shared" si="11"/>
        <v>720</v>
      </c>
      <c r="V16" s="10">
        <v>9.0700000000000003E-18</v>
      </c>
      <c r="W16" s="78">
        <f t="shared" si="12"/>
        <v>9.0700000000000007E-14</v>
      </c>
      <c r="X16" s="11">
        <v>1055</v>
      </c>
      <c r="Y16" s="16">
        <f t="shared" si="13"/>
        <v>0.94786729857819907</v>
      </c>
      <c r="Z16" s="16">
        <f t="shared" si="14"/>
        <v>782</v>
      </c>
      <c r="AA16" s="10">
        <v>2.08E-16</v>
      </c>
      <c r="AB16" s="17">
        <f t="shared" si="15"/>
        <v>2.08E-12</v>
      </c>
    </row>
    <row r="17" spans="1:28" x14ac:dyDescent="0.3">
      <c r="A17" s="9"/>
      <c r="B17" s="9"/>
      <c r="C17" s="9"/>
      <c r="D17" s="9"/>
      <c r="E17" s="13"/>
      <c r="F17" s="60">
        <v>780</v>
      </c>
      <c r="G17" s="9">
        <f t="shared" si="3"/>
        <v>1053</v>
      </c>
      <c r="H17" s="35">
        <f t="shared" si="4"/>
        <v>0.94966761633428298</v>
      </c>
      <c r="I17" s="61">
        <v>1.9199999999999999E-12</v>
      </c>
      <c r="J17" s="11"/>
      <c r="K17" s="9"/>
      <c r="L17" s="9"/>
      <c r="M17" s="13"/>
      <c r="N17" s="52">
        <v>923</v>
      </c>
      <c r="O17" s="75">
        <f t="shared" si="7"/>
        <v>1.0834236186348862</v>
      </c>
      <c r="P17" s="75">
        <f t="shared" si="8"/>
        <v>650</v>
      </c>
      <c r="Q17" s="10">
        <v>5.0399999999999998E-19</v>
      </c>
      <c r="R17" s="77">
        <f t="shared" si="9"/>
        <v>5.0399999999999999E-15</v>
      </c>
      <c r="S17" s="11">
        <v>973</v>
      </c>
      <c r="T17" s="51">
        <f t="shared" si="10"/>
        <v>1.0277492291880781</v>
      </c>
      <c r="U17" s="51">
        <f t="shared" si="11"/>
        <v>700</v>
      </c>
      <c r="V17" s="10">
        <v>4.78E-18</v>
      </c>
      <c r="W17" s="78">
        <f t="shared" si="12"/>
        <v>4.7800000000000002E-14</v>
      </c>
      <c r="X17" s="11">
        <v>1049</v>
      </c>
      <c r="Y17" s="16">
        <f t="shared" si="13"/>
        <v>0.95328884652049573</v>
      </c>
      <c r="Z17" s="16">
        <f t="shared" si="14"/>
        <v>776</v>
      </c>
      <c r="AA17" s="10">
        <v>1.9000000000000001E-16</v>
      </c>
      <c r="AB17" s="17">
        <f t="shared" si="15"/>
        <v>1.9E-12</v>
      </c>
    </row>
    <row r="18" spans="1:28" x14ac:dyDescent="0.3">
      <c r="A18" s="9"/>
      <c r="B18" s="9"/>
      <c r="C18" s="9"/>
      <c r="D18" s="9"/>
      <c r="E18" s="13"/>
      <c r="F18" s="60">
        <v>780</v>
      </c>
      <c r="G18" s="9">
        <f t="shared" si="3"/>
        <v>1053</v>
      </c>
      <c r="H18" s="35">
        <f t="shared" si="4"/>
        <v>0.94966761633428298</v>
      </c>
      <c r="I18" s="61">
        <v>1.8300000000000001E-12</v>
      </c>
      <c r="J18" s="11"/>
      <c r="K18" s="9"/>
      <c r="L18" s="9"/>
      <c r="M18" s="13"/>
      <c r="N18" s="52">
        <v>888</v>
      </c>
      <c r="O18" s="75">
        <f t="shared" si="7"/>
        <v>1.1261261261261262</v>
      </c>
      <c r="P18" s="75">
        <f t="shared" si="8"/>
        <v>615</v>
      </c>
      <c r="Q18" s="10">
        <v>8.5799999999999996E-20</v>
      </c>
      <c r="R18" s="77">
        <f t="shared" si="9"/>
        <v>8.5799999999999994E-16</v>
      </c>
      <c r="S18" s="11">
        <v>951</v>
      </c>
      <c r="T18" s="51">
        <f t="shared" si="10"/>
        <v>1.0515247108307044</v>
      </c>
      <c r="U18" s="51">
        <f t="shared" si="11"/>
        <v>678</v>
      </c>
      <c r="V18" s="10">
        <v>1.23E-18</v>
      </c>
      <c r="W18" s="78">
        <f t="shared" si="12"/>
        <v>1.23E-14</v>
      </c>
      <c r="X18" s="11">
        <v>1037</v>
      </c>
      <c r="Y18" s="16">
        <f t="shared" si="13"/>
        <v>0.96432015429122464</v>
      </c>
      <c r="Z18" s="16">
        <f t="shared" si="14"/>
        <v>764</v>
      </c>
      <c r="AA18" s="10">
        <v>8.0800000000000001E-17</v>
      </c>
      <c r="AB18" s="17">
        <f t="shared" si="15"/>
        <v>8.0799999999999999E-13</v>
      </c>
    </row>
    <row r="19" spans="1:28" x14ac:dyDescent="0.3">
      <c r="A19" s="9"/>
      <c r="B19" s="9"/>
      <c r="C19" s="9"/>
      <c r="D19" s="9"/>
      <c r="E19" s="13"/>
      <c r="F19" s="60">
        <v>750</v>
      </c>
      <c r="G19" s="9">
        <f t="shared" si="3"/>
        <v>1023</v>
      </c>
      <c r="H19" s="35">
        <f t="shared" si="4"/>
        <v>0.97751710654936463</v>
      </c>
      <c r="I19" s="61">
        <v>4.1300000000000001E-13</v>
      </c>
      <c r="J19" s="11"/>
      <c r="K19" s="9"/>
      <c r="L19" s="9"/>
      <c r="M19" s="13"/>
      <c r="N19" s="52">
        <v>873</v>
      </c>
      <c r="O19" s="75">
        <f t="shared" si="7"/>
        <v>1.1454753722794959</v>
      </c>
      <c r="P19" s="75">
        <f t="shared" si="8"/>
        <v>600</v>
      </c>
      <c r="Q19" s="10">
        <v>4.0500000000000002E-20</v>
      </c>
      <c r="R19" s="77">
        <f t="shared" si="9"/>
        <v>4.0500000000000002E-16</v>
      </c>
      <c r="S19" s="11">
        <v>923</v>
      </c>
      <c r="T19" s="51">
        <f t="shared" si="10"/>
        <v>1.0834236186348862</v>
      </c>
      <c r="U19" s="51">
        <f t="shared" si="11"/>
        <v>650</v>
      </c>
      <c r="V19" s="10">
        <v>3.4599999999999998E-19</v>
      </c>
      <c r="W19" s="78">
        <f t="shared" si="12"/>
        <v>3.4599999999999998E-15</v>
      </c>
      <c r="X19" s="11">
        <v>1034</v>
      </c>
      <c r="Y19" s="16">
        <f t="shared" si="13"/>
        <v>0.96711798839458418</v>
      </c>
      <c r="Z19" s="16">
        <f t="shared" si="14"/>
        <v>761</v>
      </c>
      <c r="AA19" s="10">
        <v>8.62E-17</v>
      </c>
      <c r="AB19" s="17">
        <f t="shared" si="15"/>
        <v>8.6199999999999996E-13</v>
      </c>
    </row>
    <row r="20" spans="1:28" x14ac:dyDescent="0.3">
      <c r="A20" s="9"/>
      <c r="B20" s="9"/>
      <c r="C20" s="9"/>
      <c r="D20" s="9"/>
      <c r="E20" s="13"/>
      <c r="F20" s="60">
        <v>750</v>
      </c>
      <c r="G20" s="9">
        <f t="shared" si="3"/>
        <v>1023</v>
      </c>
      <c r="H20" s="35">
        <f t="shared" si="4"/>
        <v>0.97751710654936463</v>
      </c>
      <c r="I20" s="61">
        <v>3.7199999999999998E-13</v>
      </c>
      <c r="J20" s="11"/>
      <c r="K20" s="9"/>
      <c r="L20" s="9"/>
      <c r="M20" s="13"/>
      <c r="N20" s="52">
        <v>858</v>
      </c>
      <c r="O20" s="75">
        <f t="shared" si="7"/>
        <v>1.1655011655011656</v>
      </c>
      <c r="P20" s="75">
        <f t="shared" si="8"/>
        <v>585</v>
      </c>
      <c r="Q20" s="10">
        <v>1.76E-20</v>
      </c>
      <c r="R20" s="77">
        <f t="shared" si="9"/>
        <v>1.76E-16</v>
      </c>
      <c r="S20" s="11">
        <v>901</v>
      </c>
      <c r="T20" s="51">
        <f t="shared" si="10"/>
        <v>1.1098779134295227</v>
      </c>
      <c r="U20" s="51">
        <f t="shared" si="11"/>
        <v>628</v>
      </c>
      <c r="V20" s="10">
        <v>1.37E-19</v>
      </c>
      <c r="W20" s="78">
        <f t="shared" si="12"/>
        <v>1.37E-15</v>
      </c>
      <c r="X20" s="11">
        <v>1026</v>
      </c>
      <c r="Y20" s="16">
        <f t="shared" si="13"/>
        <v>0.97465886939571145</v>
      </c>
      <c r="Z20" s="16">
        <f t="shared" si="14"/>
        <v>753</v>
      </c>
      <c r="AA20" s="10">
        <v>5.0500000000000001E-17</v>
      </c>
      <c r="AB20" s="17">
        <f t="shared" si="15"/>
        <v>5.0499999999999997E-13</v>
      </c>
    </row>
    <row r="21" spans="1:28" x14ac:dyDescent="0.3">
      <c r="A21" s="9"/>
      <c r="B21" s="9"/>
      <c r="C21" s="9"/>
      <c r="D21" s="9"/>
      <c r="E21" s="13"/>
      <c r="F21" s="60">
        <v>750</v>
      </c>
      <c r="G21" s="9">
        <f t="shared" si="3"/>
        <v>1023</v>
      </c>
      <c r="H21" s="35">
        <f t="shared" si="4"/>
        <v>0.97751710654936463</v>
      </c>
      <c r="I21" s="61">
        <v>7.4099999999999997E-13</v>
      </c>
      <c r="J21" s="11"/>
      <c r="K21" s="9"/>
      <c r="L21" s="9"/>
      <c r="M21" s="13"/>
      <c r="N21" s="52">
        <v>843</v>
      </c>
      <c r="O21" s="75">
        <f t="shared" si="7"/>
        <v>1.1862396204033214</v>
      </c>
      <c r="P21" s="75">
        <f t="shared" si="8"/>
        <v>570</v>
      </c>
      <c r="Q21" s="10">
        <v>8.8700000000000002E-21</v>
      </c>
      <c r="R21" s="77">
        <f t="shared" si="9"/>
        <v>8.8700000000000004E-17</v>
      </c>
      <c r="S21" s="11">
        <v>881</v>
      </c>
      <c r="T21" s="51">
        <f t="shared" si="10"/>
        <v>1.1350737797956867</v>
      </c>
      <c r="U21" s="51">
        <f t="shared" si="11"/>
        <v>608</v>
      </c>
      <c r="V21" s="10">
        <v>4.8699999999999998E-20</v>
      </c>
      <c r="W21" s="78">
        <f t="shared" si="12"/>
        <v>4.8700000000000002E-16</v>
      </c>
      <c r="X21" s="11">
        <v>1021</v>
      </c>
      <c r="Y21" s="16">
        <f t="shared" si="13"/>
        <v>0.97943192948090108</v>
      </c>
      <c r="Z21" s="16">
        <f t="shared" si="14"/>
        <v>748</v>
      </c>
      <c r="AA21" s="10">
        <v>3.5300000000000002E-17</v>
      </c>
      <c r="AB21" s="17">
        <f t="shared" si="15"/>
        <v>3.5300000000000001E-13</v>
      </c>
    </row>
    <row r="22" spans="1:28" x14ac:dyDescent="0.3">
      <c r="A22" s="9"/>
      <c r="B22" s="9"/>
      <c r="C22" s="9"/>
      <c r="D22" s="9"/>
      <c r="E22" s="13"/>
      <c r="F22" s="60">
        <v>750</v>
      </c>
      <c r="G22" s="9">
        <f t="shared" si="3"/>
        <v>1023</v>
      </c>
      <c r="H22" s="35">
        <f t="shared" si="4"/>
        <v>0.97751710654936463</v>
      </c>
      <c r="I22" s="61">
        <v>5.5499999999999996E-13</v>
      </c>
      <c r="J22" s="11"/>
      <c r="K22" s="9"/>
      <c r="L22" s="9"/>
      <c r="M22" s="13"/>
      <c r="N22" s="52">
        <v>823</v>
      </c>
      <c r="O22" s="75">
        <f t="shared" si="7"/>
        <v>1.2150668286755772</v>
      </c>
      <c r="P22" s="75">
        <f t="shared" si="8"/>
        <v>550</v>
      </c>
      <c r="Q22" s="10">
        <v>3.37E-21</v>
      </c>
      <c r="R22" s="77">
        <f t="shared" si="9"/>
        <v>3.3699999999999998E-17</v>
      </c>
      <c r="S22" s="11">
        <v>874</v>
      </c>
      <c r="T22" s="51">
        <f t="shared" si="10"/>
        <v>1.1441647597254005</v>
      </c>
      <c r="U22" s="51">
        <f t="shared" si="11"/>
        <v>601</v>
      </c>
      <c r="V22" s="10">
        <v>3.8700000000000003E-20</v>
      </c>
      <c r="W22" s="78">
        <f t="shared" si="12"/>
        <v>3.8700000000000003E-16</v>
      </c>
      <c r="X22" s="11">
        <v>1017</v>
      </c>
      <c r="Y22" s="16">
        <f t="shared" si="13"/>
        <v>0.98328416912487704</v>
      </c>
      <c r="Z22" s="16">
        <f t="shared" si="14"/>
        <v>744</v>
      </c>
      <c r="AA22" s="10">
        <v>2.8400000000000003E-17</v>
      </c>
      <c r="AB22" s="17">
        <f t="shared" si="15"/>
        <v>2.8400000000000005E-13</v>
      </c>
    </row>
    <row r="23" spans="1:28" x14ac:dyDescent="0.3">
      <c r="A23" s="9"/>
      <c r="B23" s="9"/>
      <c r="C23" s="9"/>
      <c r="D23" s="9"/>
      <c r="E23" s="13"/>
      <c r="F23" s="60">
        <v>710</v>
      </c>
      <c r="G23" s="9">
        <f t="shared" si="3"/>
        <v>983</v>
      </c>
      <c r="H23" s="35">
        <f t="shared" si="4"/>
        <v>1.0172939979654121</v>
      </c>
      <c r="I23" s="61">
        <v>2.3999999999999999E-13</v>
      </c>
      <c r="J23" s="11"/>
      <c r="K23" s="9"/>
      <c r="L23" s="9"/>
      <c r="M23" s="13"/>
      <c r="N23" s="11"/>
      <c r="O23" s="9"/>
      <c r="P23" s="9"/>
      <c r="Q23" s="9"/>
      <c r="R23" s="13"/>
      <c r="S23" s="11">
        <v>853</v>
      </c>
      <c r="T23" s="51">
        <f t="shared" si="10"/>
        <v>1.1723329425556859</v>
      </c>
      <c r="U23" s="51">
        <f t="shared" si="11"/>
        <v>580</v>
      </c>
      <c r="V23" s="10">
        <v>1.1899999999999999E-20</v>
      </c>
      <c r="W23" s="78">
        <f t="shared" si="12"/>
        <v>1.1899999999999999E-16</v>
      </c>
      <c r="X23" s="11">
        <v>993</v>
      </c>
      <c r="Y23" s="16">
        <f t="shared" si="13"/>
        <v>1.0070493454179255</v>
      </c>
      <c r="Z23" s="16">
        <f t="shared" si="14"/>
        <v>720</v>
      </c>
      <c r="AA23" s="10">
        <v>1.1999999999999999E-17</v>
      </c>
      <c r="AB23" s="17">
        <f t="shared" si="15"/>
        <v>1.1999999999999999E-13</v>
      </c>
    </row>
    <row r="24" spans="1:28" x14ac:dyDescent="0.3">
      <c r="A24" s="9"/>
      <c r="B24" s="9"/>
      <c r="C24" s="9"/>
      <c r="D24" s="9"/>
      <c r="E24" s="13"/>
      <c r="F24" s="60">
        <v>710</v>
      </c>
      <c r="G24" s="9">
        <f t="shared" si="3"/>
        <v>983</v>
      </c>
      <c r="H24" s="35">
        <f t="shared" si="4"/>
        <v>1.0172939979654121</v>
      </c>
      <c r="I24" s="61">
        <v>1.4999999999999999E-13</v>
      </c>
      <c r="J24" s="11"/>
      <c r="K24" s="9"/>
      <c r="L24" s="9"/>
      <c r="M24" s="13"/>
      <c r="N24" s="11"/>
      <c r="O24" s="9"/>
      <c r="P24" s="9"/>
      <c r="Q24" s="9"/>
      <c r="R24" s="13"/>
      <c r="S24" s="11">
        <v>833</v>
      </c>
      <c r="T24" s="51">
        <f t="shared" si="10"/>
        <v>1.2004801920768307</v>
      </c>
      <c r="U24" s="51">
        <f t="shared" si="11"/>
        <v>560</v>
      </c>
      <c r="V24" s="10">
        <v>4.7499999999999997E-21</v>
      </c>
      <c r="W24" s="78">
        <f t="shared" si="12"/>
        <v>4.7499999999999995E-17</v>
      </c>
      <c r="X24" s="11">
        <v>974</v>
      </c>
      <c r="Y24" s="16">
        <f t="shared" si="13"/>
        <v>1.0266940451745379</v>
      </c>
      <c r="Z24" s="16">
        <f t="shared" si="14"/>
        <v>701</v>
      </c>
      <c r="AA24" s="10">
        <v>3.3499999999999999E-18</v>
      </c>
      <c r="AB24" s="17">
        <f t="shared" si="15"/>
        <v>3.3499999999999996E-14</v>
      </c>
    </row>
    <row r="25" spans="1:28" x14ac:dyDescent="0.3">
      <c r="A25" s="9"/>
      <c r="B25" s="9"/>
      <c r="C25" s="9"/>
      <c r="D25" s="9"/>
      <c r="E25" s="13"/>
      <c r="F25" s="60">
        <v>680</v>
      </c>
      <c r="G25" s="9">
        <f t="shared" si="3"/>
        <v>953</v>
      </c>
      <c r="H25" s="35">
        <f t="shared" si="4"/>
        <v>1.0493179433368311</v>
      </c>
      <c r="I25" s="61">
        <v>6.2999999999999997E-14</v>
      </c>
      <c r="J25" s="11"/>
      <c r="K25" s="9"/>
      <c r="L25" s="9"/>
      <c r="M25" s="13"/>
      <c r="N25" s="11"/>
      <c r="O25" s="9"/>
      <c r="P25" s="9"/>
      <c r="Q25" s="9"/>
      <c r="R25" s="13"/>
      <c r="S25" s="9"/>
      <c r="T25" s="9"/>
      <c r="U25" s="9"/>
      <c r="V25" s="9"/>
      <c r="W25" s="13"/>
      <c r="X25" s="11">
        <v>968</v>
      </c>
      <c r="Y25" s="16">
        <f t="shared" si="13"/>
        <v>1.0330578512396693</v>
      </c>
      <c r="Z25" s="16">
        <f t="shared" si="14"/>
        <v>695</v>
      </c>
      <c r="AA25" s="10">
        <v>3.3200000000000001E-18</v>
      </c>
      <c r="AB25" s="17">
        <f t="shared" si="15"/>
        <v>3.32E-14</v>
      </c>
    </row>
    <row r="26" spans="1:28" x14ac:dyDescent="0.3">
      <c r="A26" s="9"/>
      <c r="B26" s="9"/>
      <c r="C26" s="9"/>
      <c r="D26" s="9"/>
      <c r="E26" s="13"/>
      <c r="F26" s="60">
        <v>680</v>
      </c>
      <c r="G26" s="9">
        <f t="shared" si="3"/>
        <v>953</v>
      </c>
      <c r="H26" s="35">
        <f t="shared" si="4"/>
        <v>1.0493179433368311</v>
      </c>
      <c r="I26" s="61">
        <v>3.5000000000000002E-14</v>
      </c>
      <c r="J26" s="11"/>
      <c r="K26" s="9"/>
      <c r="L26" s="9"/>
      <c r="M26" s="13"/>
      <c r="N26" s="9"/>
      <c r="O26" s="9"/>
      <c r="P26" s="9"/>
      <c r="Q26" s="9"/>
      <c r="R26" s="13"/>
      <c r="S26" s="9"/>
      <c r="T26" s="9"/>
      <c r="U26" s="9"/>
      <c r="V26" s="9"/>
      <c r="W26" s="13"/>
      <c r="X26" s="11">
        <v>944</v>
      </c>
      <c r="Y26" s="16">
        <f t="shared" si="13"/>
        <v>1.0593220338983051</v>
      </c>
      <c r="Z26" s="16">
        <f t="shared" si="14"/>
        <v>671</v>
      </c>
      <c r="AA26" s="10">
        <v>1.23E-18</v>
      </c>
      <c r="AB26" s="17">
        <f t="shared" si="15"/>
        <v>1.23E-14</v>
      </c>
    </row>
    <row r="27" spans="1:28" x14ac:dyDescent="0.3">
      <c r="A27" s="9"/>
      <c r="B27" s="9"/>
      <c r="C27" s="9"/>
      <c r="D27" s="9"/>
      <c r="E27" s="13"/>
      <c r="F27" s="60">
        <v>600</v>
      </c>
      <c r="G27" s="9">
        <f t="shared" si="3"/>
        <v>873</v>
      </c>
      <c r="H27" s="35">
        <f t="shared" si="4"/>
        <v>1.1454753722794959</v>
      </c>
      <c r="I27" s="61">
        <v>3.6000000000000001E-15</v>
      </c>
      <c r="J27" s="11"/>
      <c r="K27" s="9"/>
      <c r="L27" s="9"/>
      <c r="M27" s="13"/>
      <c r="N27" s="9"/>
      <c r="O27" s="9"/>
      <c r="P27" s="9"/>
      <c r="Q27" s="9"/>
      <c r="R27" s="13"/>
      <c r="S27" s="9"/>
      <c r="T27" s="9"/>
      <c r="U27" s="9"/>
      <c r="V27" s="9"/>
      <c r="W27" s="13"/>
      <c r="X27" s="11">
        <v>938</v>
      </c>
      <c r="Y27" s="16">
        <f t="shared" si="13"/>
        <v>1.0660980810234542</v>
      </c>
      <c r="Z27" s="16">
        <f t="shared" si="14"/>
        <v>665</v>
      </c>
      <c r="AA27" s="10">
        <v>6.6800000000000003E-19</v>
      </c>
      <c r="AB27" s="17">
        <f t="shared" si="15"/>
        <v>6.6800000000000005E-15</v>
      </c>
    </row>
    <row r="28" spans="1:28" x14ac:dyDescent="0.3">
      <c r="A28" s="9"/>
      <c r="B28" s="9"/>
      <c r="C28" s="9"/>
      <c r="D28" s="9"/>
      <c r="E28" s="13"/>
      <c r="F28" s="35">
        <v>600</v>
      </c>
      <c r="G28" s="9">
        <f t="shared" si="3"/>
        <v>873</v>
      </c>
      <c r="H28" s="35">
        <f t="shared" si="4"/>
        <v>1.1454753722794959</v>
      </c>
      <c r="I28" s="61">
        <v>2.0999999999999998E-15</v>
      </c>
      <c r="J28" s="9"/>
      <c r="K28" s="9"/>
      <c r="L28" s="9"/>
      <c r="M28" s="13"/>
      <c r="N28" s="9"/>
      <c r="O28" s="9"/>
      <c r="P28" s="9"/>
      <c r="Q28" s="9"/>
      <c r="R28" s="13"/>
      <c r="S28" s="9"/>
      <c r="T28" s="9"/>
      <c r="U28" s="9"/>
      <c r="V28" s="9"/>
      <c r="W28" s="13"/>
      <c r="X28" s="11">
        <v>928</v>
      </c>
      <c r="Y28" s="16">
        <f t="shared" si="13"/>
        <v>1.0775862068965518</v>
      </c>
      <c r="Z28" s="16">
        <f t="shared" si="14"/>
        <v>655</v>
      </c>
      <c r="AA28" s="10">
        <v>4.3199999999999999E-19</v>
      </c>
      <c r="AB28" s="17">
        <f t="shared" si="15"/>
        <v>4.32E-15</v>
      </c>
    </row>
    <row r="29" spans="1:28" x14ac:dyDescent="0.3">
      <c r="E29" s="13"/>
      <c r="I29" s="13"/>
      <c r="M29" s="13"/>
      <c r="R29" s="13"/>
      <c r="W29" s="13"/>
      <c r="X29" s="11">
        <v>928</v>
      </c>
      <c r="Y29" s="16">
        <f t="shared" si="13"/>
        <v>1.0775862068965518</v>
      </c>
      <c r="Z29" s="16">
        <f t="shared" si="14"/>
        <v>655</v>
      </c>
      <c r="AA29" s="10">
        <v>3.7499999999999998E-19</v>
      </c>
      <c r="AB29" s="17">
        <f t="shared" si="15"/>
        <v>3.7499999999999998E-15</v>
      </c>
    </row>
    <row r="30" spans="1:28" x14ac:dyDescent="0.3">
      <c r="E30" s="13"/>
      <c r="I30" s="13"/>
      <c r="M30" s="13"/>
      <c r="R30" s="13"/>
      <c r="W30" s="13"/>
      <c r="X30" s="11">
        <v>927</v>
      </c>
      <c r="Y30" s="16">
        <f t="shared" si="13"/>
        <v>1.0787486515641855</v>
      </c>
      <c r="Z30" s="16">
        <f t="shared" si="14"/>
        <v>654</v>
      </c>
      <c r="AA30" s="10">
        <v>3.4700000000000001E-19</v>
      </c>
      <c r="AB30" s="17">
        <f t="shared" si="15"/>
        <v>3.47E-15</v>
      </c>
    </row>
    <row r="31" spans="1:28" x14ac:dyDescent="0.3">
      <c r="E31" s="13"/>
      <c r="I31" s="13"/>
      <c r="M31" s="13"/>
      <c r="R31" s="13"/>
      <c r="W31" s="13"/>
      <c r="X31" s="11">
        <v>894</v>
      </c>
      <c r="Y31" s="16">
        <f t="shared" si="13"/>
        <v>1.1185682326621924</v>
      </c>
      <c r="Z31" s="16">
        <f t="shared" si="14"/>
        <v>621</v>
      </c>
      <c r="AA31" s="10">
        <v>8.6800000000000005E-20</v>
      </c>
      <c r="AB31" s="17">
        <f t="shared" si="15"/>
        <v>8.68E-16</v>
      </c>
    </row>
    <row r="32" spans="1:28" x14ac:dyDescent="0.3">
      <c r="E32" s="13"/>
      <c r="I32" s="13"/>
      <c r="M32" s="13"/>
      <c r="R32" s="13"/>
      <c r="W32" s="13"/>
      <c r="X32" s="11">
        <v>885</v>
      </c>
      <c r="Y32" s="16">
        <f t="shared" si="13"/>
        <v>1.1299435028248588</v>
      </c>
      <c r="Z32" s="16">
        <f t="shared" si="14"/>
        <v>612</v>
      </c>
      <c r="AA32" s="10">
        <v>3.7200000000000001E-20</v>
      </c>
      <c r="AB32" s="17">
        <f t="shared" si="15"/>
        <v>3.7200000000000003E-16</v>
      </c>
    </row>
  </sheetData>
  <mergeCells count="6">
    <mergeCell ref="A1:E1"/>
    <mergeCell ref="F1:I1"/>
    <mergeCell ref="J1:M1"/>
    <mergeCell ref="N1:R1"/>
    <mergeCell ref="S1:W1"/>
    <mergeCell ref="X1:A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C15F-A393-49C3-B32C-2E3061E0C1E1}">
  <dimension ref="A1:AI32"/>
  <sheetViews>
    <sheetView workbookViewId="0">
      <selection activeCell="M42" sqref="M42"/>
    </sheetView>
  </sheetViews>
  <sheetFormatPr defaultRowHeight="14.4" x14ac:dyDescent="0.3"/>
  <cols>
    <col min="1" max="1" width="12" bestFit="1" customWidth="1"/>
    <col min="2" max="2" width="15.109375" bestFit="1" customWidth="1"/>
    <col min="5" max="5" width="9.88671875" bestFit="1" customWidth="1"/>
    <col min="6" max="7" width="12" bestFit="1" customWidth="1"/>
    <col min="8" max="8" width="12.6640625" bestFit="1" customWidth="1"/>
    <col min="12" max="13" width="12" bestFit="1" customWidth="1"/>
    <col min="14" max="14" width="15.6640625" bestFit="1" customWidth="1"/>
    <col min="17" max="17" width="12" bestFit="1" customWidth="1"/>
    <col min="20" max="20" width="12" bestFit="1" customWidth="1"/>
    <col min="21" max="21" width="9.88671875" bestFit="1" customWidth="1"/>
    <col min="22" max="22" width="8.44140625" bestFit="1" customWidth="1"/>
    <col min="25" max="25" width="12" bestFit="1" customWidth="1"/>
    <col min="26" max="26" width="9.88671875" bestFit="1" customWidth="1"/>
    <col min="29" max="29" width="12" bestFit="1" customWidth="1"/>
    <col min="30" max="30" width="9.88671875" bestFit="1" customWidth="1"/>
    <col min="35" max="35" width="9.88671875" bestFit="1" customWidth="1"/>
  </cols>
  <sheetData>
    <row r="1" spans="1:35" ht="15" thickBot="1" x14ac:dyDescent="0.35">
      <c r="A1" s="24" t="s">
        <v>3</v>
      </c>
      <c r="B1" s="25"/>
      <c r="C1" s="25"/>
      <c r="D1" s="25"/>
      <c r="E1" s="26"/>
      <c r="F1" s="31" t="s">
        <v>4</v>
      </c>
      <c r="G1" s="32"/>
      <c r="H1" s="32"/>
      <c r="I1" s="32"/>
      <c r="J1" s="32"/>
      <c r="K1" s="32"/>
      <c r="L1" s="33"/>
      <c r="M1" s="38" t="s">
        <v>5</v>
      </c>
      <c r="N1" s="39"/>
      <c r="O1" s="39"/>
      <c r="P1" s="39"/>
      <c r="Q1" s="40"/>
      <c r="R1" s="41" t="s">
        <v>6</v>
      </c>
      <c r="S1" s="49"/>
      <c r="T1" s="49"/>
      <c r="U1" s="42"/>
      <c r="V1" s="53" t="s">
        <v>14</v>
      </c>
      <c r="W1" s="53"/>
      <c r="X1" s="53"/>
      <c r="Y1" s="53"/>
      <c r="Z1" s="54"/>
      <c r="AA1" s="62" t="s">
        <v>20</v>
      </c>
      <c r="AB1" s="63"/>
      <c r="AC1" s="63"/>
      <c r="AD1" s="64"/>
      <c r="AE1" s="38" t="s">
        <v>15</v>
      </c>
      <c r="AF1" s="39"/>
      <c r="AG1" s="39"/>
      <c r="AH1" s="39"/>
      <c r="AI1" s="40"/>
    </row>
    <row r="2" spans="1:35" x14ac:dyDescent="0.3">
      <c r="A2" s="47" t="s">
        <v>38</v>
      </c>
      <c r="B2" s="8" t="s">
        <v>36</v>
      </c>
      <c r="C2" s="18" t="s">
        <v>37</v>
      </c>
      <c r="D2" s="27" t="s">
        <v>39</v>
      </c>
      <c r="E2" s="28" t="s">
        <v>40</v>
      </c>
      <c r="F2" s="20" t="s">
        <v>41</v>
      </c>
      <c r="G2" s="34" t="s">
        <v>38</v>
      </c>
      <c r="H2" s="18" t="s">
        <v>42</v>
      </c>
      <c r="I2" s="18" t="s">
        <v>37</v>
      </c>
      <c r="J2" s="34" t="s">
        <v>39</v>
      </c>
      <c r="K2" s="18" t="s">
        <v>43</v>
      </c>
      <c r="L2" s="36" t="s">
        <v>40</v>
      </c>
      <c r="M2" s="22" t="s">
        <v>38</v>
      </c>
      <c r="N2" s="18" t="s">
        <v>44</v>
      </c>
      <c r="O2" s="18" t="s">
        <v>37</v>
      </c>
      <c r="P2" s="14" t="s">
        <v>39</v>
      </c>
      <c r="Q2" s="15" t="s">
        <v>40</v>
      </c>
      <c r="R2" s="43" t="s">
        <v>39</v>
      </c>
      <c r="S2" s="50" t="s">
        <v>37</v>
      </c>
      <c r="T2" s="50" t="s">
        <v>38</v>
      </c>
      <c r="U2" s="44" t="s">
        <v>40</v>
      </c>
      <c r="V2" s="55" t="s">
        <v>39</v>
      </c>
      <c r="W2" s="8" t="s">
        <v>45</v>
      </c>
      <c r="X2" s="8" t="s">
        <v>37</v>
      </c>
      <c r="Y2" s="55" t="s">
        <v>38</v>
      </c>
      <c r="Z2" s="57" t="s">
        <v>40</v>
      </c>
      <c r="AA2" s="65" t="s">
        <v>39</v>
      </c>
      <c r="AB2" s="18" t="s">
        <v>37</v>
      </c>
      <c r="AC2" s="67" t="s">
        <v>38</v>
      </c>
      <c r="AD2" s="68" t="s">
        <v>40</v>
      </c>
      <c r="AE2" s="20" t="s">
        <v>37</v>
      </c>
      <c r="AF2" s="14" t="s">
        <v>38</v>
      </c>
      <c r="AG2" s="14" t="s">
        <v>39</v>
      </c>
      <c r="AH2" s="18" t="s">
        <v>43</v>
      </c>
      <c r="AI2" s="15" t="s">
        <v>40</v>
      </c>
    </row>
    <row r="3" spans="1:35" x14ac:dyDescent="0.3">
      <c r="A3" s="48">
        <v>4.20836025335909</v>
      </c>
      <c r="B3" s="9">
        <v>-19.967613903416101</v>
      </c>
      <c r="C3" s="19">
        <f>1000/A3</f>
        <v>237.62224234529481</v>
      </c>
      <c r="D3" s="29">
        <f>C3-273</f>
        <v>-35.377757654705192</v>
      </c>
      <c r="E3" s="30">
        <f>10^B3</f>
        <v>1.0774226385128251E-20</v>
      </c>
      <c r="F3" s="11">
        <v>5.90834845735026</v>
      </c>
      <c r="G3" s="35">
        <f>F3/10</f>
        <v>0.59083484573502598</v>
      </c>
      <c r="H3" s="9">
        <v>-19.6315789473684</v>
      </c>
      <c r="I3" s="9">
        <f>10000/F3</f>
        <v>1692.5203501766277</v>
      </c>
      <c r="J3" s="35">
        <f>I3-273</f>
        <v>1419.5203501766277</v>
      </c>
      <c r="K3" s="9">
        <f>EXP(H3)</f>
        <v>2.9792955786706153E-9</v>
      </c>
      <c r="L3" s="37">
        <f>K3*(100^2)</f>
        <v>2.9792955786706154E-5</v>
      </c>
      <c r="M3" s="23">
        <v>2.68571716493113</v>
      </c>
      <c r="N3" s="9">
        <v>3.1664483244147101</v>
      </c>
      <c r="O3" s="9">
        <f>1000/M3</f>
        <v>372.34002636522712</v>
      </c>
      <c r="P3" s="16">
        <f>O3-273</f>
        <v>99.340026365227118</v>
      </c>
      <c r="Q3" s="21">
        <f>N3*(10^-5)</f>
        <v>3.1664483244147105E-5</v>
      </c>
      <c r="R3" s="45">
        <v>700</v>
      </c>
      <c r="S3" s="51">
        <f>R3+273</f>
        <v>973</v>
      </c>
      <c r="T3" s="51">
        <f>1000/S3</f>
        <v>1.0277492291880781</v>
      </c>
      <c r="U3" s="46">
        <f>5.26*(10^-10)</f>
        <v>5.2600000000000004E-10</v>
      </c>
      <c r="V3" s="56">
        <v>901</v>
      </c>
      <c r="W3" s="9">
        <v>50.4</v>
      </c>
      <c r="X3" s="9">
        <f>V3+273</f>
        <v>1174</v>
      </c>
      <c r="Y3" s="56">
        <f>1000/X3</f>
        <v>0.85178875638841567</v>
      </c>
      <c r="Z3" s="58">
        <f>W3*(10^-13)</f>
        <v>5.0400000000000003E-12</v>
      </c>
      <c r="AA3" s="66">
        <v>1095</v>
      </c>
      <c r="AB3" s="9">
        <f>AA3+273</f>
        <v>1368</v>
      </c>
      <c r="AC3" s="69">
        <f>1000/AB3</f>
        <v>0.73099415204678364</v>
      </c>
      <c r="AD3" s="70">
        <v>1.4999999999999999E-8</v>
      </c>
      <c r="AE3" s="11">
        <v>1174</v>
      </c>
      <c r="AF3" s="16">
        <f>1000/AE3</f>
        <v>0.85178875638841567</v>
      </c>
      <c r="AG3" s="16">
        <f>AE3-273</f>
        <v>901</v>
      </c>
      <c r="AH3" s="10">
        <v>4.6699999999999998E-15</v>
      </c>
      <c r="AI3" s="17">
        <f>AH3*(100^2)</f>
        <v>4.6699999999999998E-11</v>
      </c>
    </row>
    <row r="4" spans="1:35" x14ac:dyDescent="0.3">
      <c r="A4" s="48">
        <v>4.0256984907377698</v>
      </c>
      <c r="B4" s="9">
        <v>-19.293630958153901</v>
      </c>
      <c r="C4" s="19">
        <f t="shared" ref="C4:C24" si="0">1000/A4</f>
        <v>248.40409740092954</v>
      </c>
      <c r="D4" s="29">
        <f t="shared" ref="D4:D24" si="1">C4-273</f>
        <v>-24.595902599070456</v>
      </c>
      <c r="E4" s="30">
        <f t="shared" ref="E4:E24" si="2">10^B4</f>
        <v>5.0859143469241822E-20</v>
      </c>
      <c r="F4" s="11">
        <v>8.98856624319418</v>
      </c>
      <c r="G4" s="35">
        <f t="shared" ref="G4:G26" si="3">F4/10</f>
        <v>0.89885662431941804</v>
      </c>
      <c r="H4" s="9">
        <v>-22.3263157894736</v>
      </c>
      <c r="I4" s="9">
        <f t="shared" ref="I4:I26" si="4">10000/F4</f>
        <v>1112.5244815958988</v>
      </c>
      <c r="J4" s="35">
        <f t="shared" ref="J4:J26" si="5">I4-273</f>
        <v>839.52448159589881</v>
      </c>
      <c r="K4" s="9">
        <f t="shared" ref="K4:K26" si="6">EXP(H4)</f>
        <v>2.0128168128736312E-10</v>
      </c>
      <c r="L4" s="37">
        <f t="shared" ref="L4:L26" si="7">K4*(100^2)</f>
        <v>2.0128168128736311E-6</v>
      </c>
      <c r="M4" s="23">
        <v>2.8026335236815498</v>
      </c>
      <c r="N4" s="9">
        <v>3.1442721867757299</v>
      </c>
      <c r="O4" s="9">
        <f t="shared" ref="O4:O19" si="8">1000/M4</f>
        <v>356.80726415003994</v>
      </c>
      <c r="P4" s="16">
        <f t="shared" ref="P4:P19" si="9">O4-273</f>
        <v>83.807264150039941</v>
      </c>
      <c r="Q4" s="21">
        <f t="shared" ref="Q4:Q19" si="10">N4*(10^-5)</f>
        <v>3.1442721867757303E-5</v>
      </c>
      <c r="R4" s="45">
        <v>725</v>
      </c>
      <c r="S4" s="51">
        <f t="shared" ref="S4:S9" si="11">R4+273</f>
        <v>998</v>
      </c>
      <c r="T4" s="51">
        <f t="shared" ref="T4:T9" si="12">1000/S4</f>
        <v>1.002004008016032</v>
      </c>
      <c r="U4" s="46">
        <f>8.97*(10^-10)</f>
        <v>8.9700000000000011E-10</v>
      </c>
      <c r="V4" s="56">
        <v>870.3</v>
      </c>
      <c r="W4" s="9">
        <v>25.5</v>
      </c>
      <c r="X4" s="9">
        <f t="shared" ref="X4:X8" si="13">V4+273</f>
        <v>1143.3</v>
      </c>
      <c r="Y4" s="56">
        <f t="shared" ref="Y4:Y8" si="14">1000/X4</f>
        <v>0.87466106883582617</v>
      </c>
      <c r="Z4" s="58">
        <f t="shared" ref="Z4:Z8" si="15">W4*(10^-13)</f>
        <v>2.5500000000000002E-12</v>
      </c>
      <c r="AA4" s="66">
        <v>1194</v>
      </c>
      <c r="AB4" s="9">
        <f t="shared" ref="AB4:AB13" si="16">AA4+273</f>
        <v>1467</v>
      </c>
      <c r="AC4" s="69">
        <f t="shared" ref="AC4:AC13" si="17">1000/AB4</f>
        <v>0.68166325835037489</v>
      </c>
      <c r="AD4" s="70">
        <v>2.4E-8</v>
      </c>
      <c r="AE4" s="11">
        <v>1171</v>
      </c>
      <c r="AF4" s="16">
        <f t="shared" ref="AF4:AF32" si="18">1000/AE4</f>
        <v>0.85397096498719038</v>
      </c>
      <c r="AG4" s="16">
        <f t="shared" ref="AG4:AG32" si="19">AE4-273</f>
        <v>898</v>
      </c>
      <c r="AH4" s="10">
        <v>4.76E-15</v>
      </c>
      <c r="AI4" s="17">
        <f t="shared" ref="AI4:AI32" si="20">AH4*(100^2)</f>
        <v>4.7600000000000002E-11</v>
      </c>
    </row>
    <row r="5" spans="1:35" x14ac:dyDescent="0.3">
      <c r="A5" s="48">
        <v>3.8843978245137598</v>
      </c>
      <c r="B5" s="9">
        <v>-18.698580263953001</v>
      </c>
      <c r="C5" s="19">
        <f t="shared" si="0"/>
        <v>257.44016065738009</v>
      </c>
      <c r="D5" s="29">
        <f t="shared" si="1"/>
        <v>-15.55983934261991</v>
      </c>
      <c r="E5" s="30">
        <f t="shared" si="2"/>
        <v>2.0017956263785208E-19</v>
      </c>
      <c r="F5" s="11">
        <v>9.8411978221415506</v>
      </c>
      <c r="G5" s="35">
        <f t="shared" si="3"/>
        <v>0.98411978221415508</v>
      </c>
      <c r="H5" s="9">
        <v>-23.421052631578899</v>
      </c>
      <c r="I5" s="9">
        <f t="shared" si="4"/>
        <v>1016.1364684186271</v>
      </c>
      <c r="J5" s="35">
        <f t="shared" si="5"/>
        <v>743.13646841862715</v>
      </c>
      <c r="K5" s="9">
        <f t="shared" si="6"/>
        <v>6.7354417058409216E-11</v>
      </c>
      <c r="L5" s="37">
        <f t="shared" si="7"/>
        <v>6.7354417058409213E-7</v>
      </c>
      <c r="M5" s="23">
        <v>2.8347866980181302</v>
      </c>
      <c r="N5" s="9">
        <v>2.67496378426224</v>
      </c>
      <c r="O5" s="9">
        <f t="shared" si="8"/>
        <v>352.76022732120367</v>
      </c>
      <c r="P5" s="16">
        <f t="shared" si="9"/>
        <v>79.760227321203672</v>
      </c>
      <c r="Q5" s="21">
        <f t="shared" si="10"/>
        <v>2.6749637842622403E-5</v>
      </c>
      <c r="R5" s="45">
        <v>750</v>
      </c>
      <c r="S5" s="51">
        <f t="shared" si="11"/>
        <v>1023</v>
      </c>
      <c r="T5" s="51">
        <f t="shared" si="12"/>
        <v>0.97751710654936463</v>
      </c>
      <c r="U5" s="46">
        <f>1.37*(10^-9)</f>
        <v>1.3700000000000002E-9</v>
      </c>
      <c r="V5" s="56">
        <v>839.7</v>
      </c>
      <c r="W5" s="9">
        <v>12.3</v>
      </c>
      <c r="X5" s="9">
        <f t="shared" si="13"/>
        <v>1112.7</v>
      </c>
      <c r="Y5" s="56">
        <f t="shared" si="14"/>
        <v>0.8987148377819717</v>
      </c>
      <c r="Z5" s="58">
        <f t="shared" si="15"/>
        <v>1.23E-12</v>
      </c>
      <c r="AA5" s="66">
        <v>1201</v>
      </c>
      <c r="AB5" s="9">
        <f t="shared" si="16"/>
        <v>1474</v>
      </c>
      <c r="AC5" s="69">
        <f t="shared" si="17"/>
        <v>0.67842605156037994</v>
      </c>
      <c r="AD5" s="70">
        <v>4.1999999999999999E-8</v>
      </c>
      <c r="AE5" s="11">
        <v>1155</v>
      </c>
      <c r="AF5" s="16">
        <f t="shared" si="18"/>
        <v>0.86580086580086579</v>
      </c>
      <c r="AG5" s="16">
        <f t="shared" si="19"/>
        <v>882</v>
      </c>
      <c r="AH5" s="10">
        <v>3.3100000000000001E-15</v>
      </c>
      <c r="AI5" s="17">
        <f t="shared" si="20"/>
        <v>3.3100000000000001E-11</v>
      </c>
    </row>
    <row r="6" spans="1:35" x14ac:dyDescent="0.3">
      <c r="A6" s="48">
        <v>3.7931079760368198</v>
      </c>
      <c r="B6" s="9">
        <v>-18.3815083669678</v>
      </c>
      <c r="C6" s="19">
        <f t="shared" si="0"/>
        <v>263.63604893864294</v>
      </c>
      <c r="D6" s="29">
        <f t="shared" si="1"/>
        <v>-9.3639510613570565</v>
      </c>
      <c r="E6" s="30">
        <f t="shared" si="2"/>
        <v>4.1542404774824245E-19</v>
      </c>
      <c r="F6" s="11">
        <v>11.552268602540799</v>
      </c>
      <c r="G6" s="35">
        <f t="shared" si="3"/>
        <v>1.1552268602540798</v>
      </c>
      <c r="H6" s="9">
        <v>-24.9368421052631</v>
      </c>
      <c r="I6" s="9">
        <f t="shared" si="4"/>
        <v>865.63084222267878</v>
      </c>
      <c r="J6" s="35">
        <f t="shared" si="5"/>
        <v>592.63084222267878</v>
      </c>
      <c r="K6" s="9">
        <f t="shared" si="6"/>
        <v>1.4793368568567264E-11</v>
      </c>
      <c r="L6" s="37">
        <f t="shared" si="7"/>
        <v>1.4793368568567264E-7</v>
      </c>
      <c r="M6" s="23">
        <v>2.8747799798454801</v>
      </c>
      <c r="N6" s="9">
        <v>2.65622974568605</v>
      </c>
      <c r="O6" s="9">
        <f t="shared" si="8"/>
        <v>347.852707689216</v>
      </c>
      <c r="P6" s="16">
        <f t="shared" si="9"/>
        <v>74.852707689216004</v>
      </c>
      <c r="Q6" s="21">
        <f t="shared" si="10"/>
        <v>2.6562297456860501E-5</v>
      </c>
      <c r="R6" s="45">
        <v>775</v>
      </c>
      <c r="S6" s="51">
        <f t="shared" si="11"/>
        <v>1048</v>
      </c>
      <c r="T6" s="51">
        <f t="shared" si="12"/>
        <v>0.95419847328244278</v>
      </c>
      <c r="U6" s="46">
        <f>2.28*(10^-9)</f>
        <v>2.28E-9</v>
      </c>
      <c r="V6" s="56">
        <v>839.7</v>
      </c>
      <c r="W6" s="9">
        <v>11.8</v>
      </c>
      <c r="X6" s="9">
        <f t="shared" si="13"/>
        <v>1112.7</v>
      </c>
      <c r="Y6" s="56">
        <f t="shared" si="14"/>
        <v>0.8987148377819717</v>
      </c>
      <c r="Z6" s="58">
        <f t="shared" si="15"/>
        <v>1.18E-12</v>
      </c>
      <c r="AA6" s="66">
        <v>1202</v>
      </c>
      <c r="AB6" s="9">
        <f t="shared" si="16"/>
        <v>1475</v>
      </c>
      <c r="AC6" s="69">
        <f t="shared" si="17"/>
        <v>0.67796610169491522</v>
      </c>
      <c r="AD6" s="70">
        <v>3.2000000000000002E-8</v>
      </c>
      <c r="AE6" s="11">
        <v>1152</v>
      </c>
      <c r="AF6" s="16">
        <f t="shared" si="18"/>
        <v>0.86805555555555558</v>
      </c>
      <c r="AG6" s="16">
        <f t="shared" si="19"/>
        <v>879</v>
      </c>
      <c r="AH6" s="10">
        <v>2.6099999999999998E-15</v>
      </c>
      <c r="AI6" s="17">
        <f t="shared" si="20"/>
        <v>2.6099999999999999E-11</v>
      </c>
    </row>
    <row r="7" spans="1:35" x14ac:dyDescent="0.3">
      <c r="A7" s="48">
        <v>3.67677168585262</v>
      </c>
      <c r="B7" s="9">
        <v>-17.905527495728801</v>
      </c>
      <c r="C7" s="19">
        <f t="shared" si="0"/>
        <v>271.97772541813578</v>
      </c>
      <c r="D7" s="29">
        <f t="shared" si="1"/>
        <v>-1.0222745818642238</v>
      </c>
      <c r="E7" s="30">
        <f t="shared" si="2"/>
        <v>1.2430039372138287E-18</v>
      </c>
      <c r="F7" s="11">
        <v>13.007622504537199</v>
      </c>
      <c r="G7" s="35">
        <f t="shared" si="3"/>
        <v>1.30076225045372</v>
      </c>
      <c r="H7" s="9">
        <v>-26.115789473684199</v>
      </c>
      <c r="I7" s="9">
        <f t="shared" si="4"/>
        <v>768.77999776760839</v>
      </c>
      <c r="J7" s="35">
        <f t="shared" si="5"/>
        <v>495.77999776760839</v>
      </c>
      <c r="K7" s="9">
        <f t="shared" si="6"/>
        <v>4.5504750870320967E-12</v>
      </c>
      <c r="L7" s="37">
        <f t="shared" si="7"/>
        <v>4.5504750870320969E-8</v>
      </c>
      <c r="M7" s="23">
        <v>2.9161639234128298</v>
      </c>
      <c r="N7" s="9">
        <v>2.25976567877108</v>
      </c>
      <c r="O7" s="9">
        <f t="shared" si="8"/>
        <v>342.91625102805784</v>
      </c>
      <c r="P7" s="16">
        <f t="shared" si="9"/>
        <v>69.916251028057843</v>
      </c>
      <c r="Q7" s="21">
        <f t="shared" si="10"/>
        <v>2.2597656787710803E-5</v>
      </c>
      <c r="R7" s="45">
        <v>800</v>
      </c>
      <c r="S7" s="51">
        <f t="shared" si="11"/>
        <v>1073</v>
      </c>
      <c r="T7" s="51">
        <f t="shared" si="12"/>
        <v>0.93196644920782856</v>
      </c>
      <c r="U7" s="46">
        <f>3.4*(10^-9)</f>
        <v>3.4000000000000003E-9</v>
      </c>
      <c r="V7" s="56">
        <v>809</v>
      </c>
      <c r="W7" s="9">
        <v>5.7</v>
      </c>
      <c r="X7" s="9">
        <f t="shared" si="13"/>
        <v>1082</v>
      </c>
      <c r="Y7" s="56">
        <f t="shared" si="14"/>
        <v>0.92421441774491686</v>
      </c>
      <c r="Z7" s="58">
        <f t="shared" si="15"/>
        <v>5.6999999999999999E-13</v>
      </c>
      <c r="AA7" s="66">
        <v>1249</v>
      </c>
      <c r="AB7" s="9">
        <f t="shared" si="16"/>
        <v>1522</v>
      </c>
      <c r="AC7" s="69">
        <f t="shared" si="17"/>
        <v>0.65703022339027595</v>
      </c>
      <c r="AD7" s="70">
        <v>4.9999999999999998E-8</v>
      </c>
      <c r="AE7" s="11">
        <v>1149</v>
      </c>
      <c r="AF7" s="16">
        <f t="shared" si="18"/>
        <v>0.8703220191470844</v>
      </c>
      <c r="AG7" s="16">
        <f t="shared" si="19"/>
        <v>876</v>
      </c>
      <c r="AH7" s="10">
        <v>2.3499999999999999E-15</v>
      </c>
      <c r="AI7" s="17">
        <f t="shared" si="20"/>
        <v>2.35E-11</v>
      </c>
    </row>
    <row r="8" spans="1:35" x14ac:dyDescent="0.3">
      <c r="A8" s="48">
        <v>3.3690418460298801</v>
      </c>
      <c r="B8" s="9">
        <v>-16.516677981781399</v>
      </c>
      <c r="C8" s="19">
        <f t="shared" si="0"/>
        <v>296.82029660106838</v>
      </c>
      <c r="D8" s="29">
        <f t="shared" si="1"/>
        <v>23.820296601068378</v>
      </c>
      <c r="E8" s="30">
        <f t="shared" si="2"/>
        <v>3.0431406000455089E-17</v>
      </c>
      <c r="F8" s="11">
        <v>13.949364791288501</v>
      </c>
      <c r="G8" s="35">
        <f t="shared" si="3"/>
        <v>1.3949364791288501</v>
      </c>
      <c r="H8" s="9">
        <v>-26.873684210526299</v>
      </c>
      <c r="I8" s="9">
        <f t="shared" si="4"/>
        <v>716.87852096642325</v>
      </c>
      <c r="J8" s="35">
        <f t="shared" si="5"/>
        <v>443.87852096642325</v>
      </c>
      <c r="K8" s="9">
        <f t="shared" si="6"/>
        <v>2.132589364324455E-12</v>
      </c>
      <c r="L8" s="37">
        <f t="shared" si="7"/>
        <v>2.132589364324455E-8</v>
      </c>
      <c r="M8" s="23">
        <v>2.9868055089015701</v>
      </c>
      <c r="N8" s="9">
        <v>1.9772895169062901</v>
      </c>
      <c r="O8" s="9">
        <f t="shared" si="8"/>
        <v>334.80586433221117</v>
      </c>
      <c r="P8" s="16">
        <f t="shared" si="9"/>
        <v>61.805864332211172</v>
      </c>
      <c r="Q8" s="21">
        <f t="shared" si="10"/>
        <v>1.9772895169062902E-5</v>
      </c>
      <c r="R8" s="45">
        <v>825</v>
      </c>
      <c r="S8" s="51">
        <f t="shared" si="11"/>
        <v>1098</v>
      </c>
      <c r="T8" s="51">
        <f t="shared" si="12"/>
        <v>0.91074681238615662</v>
      </c>
      <c r="U8" s="46">
        <f>5.28*(10^-9)</f>
        <v>5.2800000000000008E-9</v>
      </c>
      <c r="V8" s="56">
        <v>778.3</v>
      </c>
      <c r="W8" s="9">
        <v>2.0699999999999998</v>
      </c>
      <c r="X8" s="9">
        <f t="shared" si="13"/>
        <v>1051.3</v>
      </c>
      <c r="Y8" s="56">
        <f t="shared" si="14"/>
        <v>0.95120327213925615</v>
      </c>
      <c r="Z8" s="58">
        <f t="shared" si="15"/>
        <v>2.07E-13</v>
      </c>
      <c r="AA8" s="66">
        <v>1255</v>
      </c>
      <c r="AB8" s="9">
        <f t="shared" si="16"/>
        <v>1528</v>
      </c>
      <c r="AC8" s="69">
        <f t="shared" si="17"/>
        <v>0.65445026178010468</v>
      </c>
      <c r="AD8" s="70">
        <v>5.7000000000000001E-8</v>
      </c>
      <c r="AE8" s="11">
        <v>1141</v>
      </c>
      <c r="AF8" s="16">
        <f t="shared" si="18"/>
        <v>0.87642418930762489</v>
      </c>
      <c r="AG8" s="16">
        <f t="shared" si="19"/>
        <v>868</v>
      </c>
      <c r="AH8" s="10">
        <v>2.0799999999999999E-15</v>
      </c>
      <c r="AI8" s="17">
        <f t="shared" si="20"/>
        <v>2.0799999999999999E-11</v>
      </c>
    </row>
    <row r="9" spans="1:35" x14ac:dyDescent="0.3">
      <c r="A9" s="48">
        <v>3.31878483128044</v>
      </c>
      <c r="B9" s="9">
        <v>-16.1191817306903</v>
      </c>
      <c r="C9" s="19">
        <f t="shared" si="0"/>
        <v>301.31510502721687</v>
      </c>
      <c r="D9" s="29">
        <f t="shared" si="1"/>
        <v>28.315105027216873</v>
      </c>
      <c r="E9" s="30">
        <f t="shared" si="2"/>
        <v>7.600081846794201E-17</v>
      </c>
      <c r="F9" s="11">
        <v>14.892558983666</v>
      </c>
      <c r="G9" s="35">
        <f t="shared" si="3"/>
        <v>1.4892558983666</v>
      </c>
      <c r="H9" s="9">
        <v>-27.463157894736799</v>
      </c>
      <c r="I9" s="9">
        <f t="shared" si="4"/>
        <v>671.47627288016076</v>
      </c>
      <c r="J9" s="35">
        <f t="shared" si="5"/>
        <v>398.47627288016076</v>
      </c>
      <c r="K9" s="9">
        <f t="shared" si="6"/>
        <v>1.1827748210529162E-12</v>
      </c>
      <c r="L9" s="37">
        <f t="shared" si="7"/>
        <v>1.1827748210529163E-8</v>
      </c>
      <c r="M9" s="23">
        <v>3.0791064830366102</v>
      </c>
      <c r="N9" s="9">
        <v>1.96344162172956</v>
      </c>
      <c r="O9" s="9">
        <f t="shared" si="8"/>
        <v>324.76954126438704</v>
      </c>
      <c r="P9" s="16">
        <f t="shared" si="9"/>
        <v>51.769541264387044</v>
      </c>
      <c r="Q9" s="21">
        <f t="shared" si="10"/>
        <v>1.9634416217295603E-5</v>
      </c>
      <c r="R9" s="45">
        <v>850</v>
      </c>
      <c r="S9" s="51">
        <f t="shared" si="11"/>
        <v>1123</v>
      </c>
      <c r="T9" s="51">
        <f t="shared" si="12"/>
        <v>0.89047195013357083</v>
      </c>
      <c r="U9" s="46">
        <f>7.67*(10^-9)</f>
        <v>7.6700000000000002E-9</v>
      </c>
      <c r="AA9" s="66">
        <v>1284</v>
      </c>
      <c r="AB9" s="9">
        <f t="shared" si="16"/>
        <v>1557</v>
      </c>
      <c r="AC9" s="69">
        <f t="shared" si="17"/>
        <v>0.64226075786769432</v>
      </c>
      <c r="AD9" s="70">
        <v>1.3E-7</v>
      </c>
      <c r="AE9" s="11">
        <v>1125</v>
      </c>
      <c r="AF9" s="16">
        <f t="shared" si="18"/>
        <v>0.88888888888888884</v>
      </c>
      <c r="AG9" s="16">
        <f t="shared" si="19"/>
        <v>852</v>
      </c>
      <c r="AH9" s="10">
        <v>1.3899999999999999E-15</v>
      </c>
      <c r="AI9" s="17">
        <f t="shared" si="20"/>
        <v>1.3899999999999999E-11</v>
      </c>
    </row>
    <row r="10" spans="1:35" x14ac:dyDescent="0.3">
      <c r="A10" s="48">
        <v>3.2438917031610202</v>
      </c>
      <c r="B10" s="9">
        <v>-15.7619722618044</v>
      </c>
      <c r="C10" s="19">
        <f t="shared" si="0"/>
        <v>308.27169693289915</v>
      </c>
      <c r="D10" s="29">
        <f t="shared" si="1"/>
        <v>35.271696932899147</v>
      </c>
      <c r="E10" s="30">
        <f t="shared" si="2"/>
        <v>1.7299268453457001E-16</v>
      </c>
      <c r="F10" s="11">
        <v>16.6833030852994</v>
      </c>
      <c r="G10" s="35">
        <f t="shared" si="3"/>
        <v>1.6683303085299399</v>
      </c>
      <c r="H10" s="9">
        <v>-29.736842105263101</v>
      </c>
      <c r="I10" s="9">
        <f t="shared" si="4"/>
        <v>599.4016861571954</v>
      </c>
      <c r="J10" s="35">
        <f t="shared" si="5"/>
        <v>326.4016861571954</v>
      </c>
      <c r="K10" s="9">
        <f t="shared" si="6"/>
        <v>1.2174568132223201E-13</v>
      </c>
      <c r="L10" s="37">
        <f t="shared" si="7"/>
        <v>1.21745681322232E-9</v>
      </c>
      <c r="M10" s="23">
        <v>3.0790124286194098</v>
      </c>
      <c r="N10" s="9">
        <v>1.7794516920711001</v>
      </c>
      <c r="O10" s="9">
        <f t="shared" si="8"/>
        <v>324.77946198105712</v>
      </c>
      <c r="P10" s="16">
        <f t="shared" si="9"/>
        <v>51.779461981057125</v>
      </c>
      <c r="Q10" s="21">
        <f t="shared" si="10"/>
        <v>1.7794516920711001E-5</v>
      </c>
      <c r="R10" s="11"/>
      <c r="S10" s="9"/>
      <c r="T10" s="9"/>
      <c r="U10" s="13"/>
      <c r="AA10" s="66">
        <v>1300</v>
      </c>
      <c r="AB10" s="9">
        <f t="shared" si="16"/>
        <v>1573</v>
      </c>
      <c r="AC10" s="69">
        <f t="shared" si="17"/>
        <v>0.63572790845518123</v>
      </c>
      <c r="AD10" s="70">
        <v>8.9999999999999999E-8</v>
      </c>
      <c r="AE10" s="11">
        <v>1110</v>
      </c>
      <c r="AF10" s="16">
        <f t="shared" si="18"/>
        <v>0.90090090090090091</v>
      </c>
      <c r="AG10" s="16">
        <f t="shared" si="19"/>
        <v>837</v>
      </c>
      <c r="AH10" s="10">
        <v>1.14E-15</v>
      </c>
      <c r="AI10" s="17">
        <f t="shared" si="20"/>
        <v>1.1399999999999999E-11</v>
      </c>
    </row>
    <row r="11" spans="1:35" x14ac:dyDescent="0.3">
      <c r="A11" s="48">
        <v>3.2023664754287902</v>
      </c>
      <c r="B11" s="9">
        <v>-15.6033617081595</v>
      </c>
      <c r="C11" s="19">
        <f t="shared" si="0"/>
        <v>312.26906966233531</v>
      </c>
      <c r="D11" s="29">
        <f t="shared" si="1"/>
        <v>39.269069662335312</v>
      </c>
      <c r="E11" s="30">
        <f t="shared" si="2"/>
        <v>2.4925179342218927E-16</v>
      </c>
      <c r="F11" s="11">
        <v>21.294918330308501</v>
      </c>
      <c r="G11" s="35">
        <f t="shared" si="3"/>
        <v>2.1294918330308503</v>
      </c>
      <c r="H11" s="9">
        <v>-34.789473684210499</v>
      </c>
      <c r="I11" s="9">
        <f t="shared" si="4"/>
        <v>469.59560233519471</v>
      </c>
      <c r="J11" s="35">
        <f t="shared" si="5"/>
        <v>196.59560233519471</v>
      </c>
      <c r="K11" s="9">
        <f t="shared" si="6"/>
        <v>7.7825792290597033E-16</v>
      </c>
      <c r="L11" s="37">
        <f t="shared" si="7"/>
        <v>7.7825792290597036E-12</v>
      </c>
      <c r="M11" s="23">
        <v>3.17746724890829</v>
      </c>
      <c r="N11" s="9">
        <v>1.7669893489022499</v>
      </c>
      <c r="O11" s="9">
        <f t="shared" si="8"/>
        <v>314.71606838546603</v>
      </c>
      <c r="P11" s="16">
        <f t="shared" si="9"/>
        <v>41.716068385466031</v>
      </c>
      <c r="Q11" s="21">
        <f t="shared" si="10"/>
        <v>1.7669893489022501E-5</v>
      </c>
      <c r="R11" s="11"/>
      <c r="S11" s="9"/>
      <c r="T11" s="9"/>
      <c r="U11" s="13"/>
      <c r="AA11" s="66">
        <v>1306</v>
      </c>
      <c r="AB11" s="9">
        <f t="shared" si="16"/>
        <v>1579</v>
      </c>
      <c r="AC11" s="69">
        <f t="shared" si="17"/>
        <v>0.6333122229259025</v>
      </c>
      <c r="AD11" s="70">
        <v>1.1000000000000001E-7</v>
      </c>
      <c r="AE11" s="11">
        <v>1107</v>
      </c>
      <c r="AF11" s="16">
        <f t="shared" si="18"/>
        <v>0.90334236675700086</v>
      </c>
      <c r="AG11" s="16">
        <f t="shared" si="19"/>
        <v>834</v>
      </c>
      <c r="AH11" s="10">
        <v>9.1999999999999996E-16</v>
      </c>
      <c r="AI11" s="17">
        <f t="shared" si="20"/>
        <v>9.1999999999999996E-12</v>
      </c>
    </row>
    <row r="12" spans="1:35" x14ac:dyDescent="0.3">
      <c r="A12" s="48">
        <v>3.16092331336402</v>
      </c>
      <c r="B12" s="9">
        <v>-15.484590305806501</v>
      </c>
      <c r="C12" s="19">
        <f t="shared" si="0"/>
        <v>316.36325872637121</v>
      </c>
      <c r="D12" s="29">
        <f t="shared" si="1"/>
        <v>43.363258726371214</v>
      </c>
      <c r="E12" s="30">
        <f t="shared" si="2"/>
        <v>3.2764963930248655E-16</v>
      </c>
      <c r="F12" s="11">
        <v>23.097277676950899</v>
      </c>
      <c r="G12" s="35">
        <f t="shared" si="3"/>
        <v>2.3097277676950898</v>
      </c>
      <c r="H12" s="9">
        <v>-35.715789473684197</v>
      </c>
      <c r="I12" s="9">
        <f t="shared" si="4"/>
        <v>432.9514560055336</v>
      </c>
      <c r="J12" s="35">
        <f t="shared" si="5"/>
        <v>159.9514560055336</v>
      </c>
      <c r="K12" s="9">
        <f t="shared" si="6"/>
        <v>3.0819792807779287E-16</v>
      </c>
      <c r="L12" s="37">
        <f t="shared" si="7"/>
        <v>3.0819792807779286E-12</v>
      </c>
      <c r="M12" s="23">
        <v>3.1789049378568999</v>
      </c>
      <c r="N12" s="9">
        <v>1.5901931203758699</v>
      </c>
      <c r="O12" s="9">
        <f t="shared" si="8"/>
        <v>314.57373515364162</v>
      </c>
      <c r="P12" s="16">
        <f t="shared" si="9"/>
        <v>41.573735153641621</v>
      </c>
      <c r="Q12" s="21">
        <f t="shared" si="10"/>
        <v>1.5901931203758701E-5</v>
      </c>
      <c r="R12" s="11"/>
      <c r="S12" s="9"/>
      <c r="T12" s="9"/>
      <c r="U12" s="13"/>
      <c r="AA12" s="66">
        <v>1344</v>
      </c>
      <c r="AB12" s="9">
        <f t="shared" si="16"/>
        <v>1617</v>
      </c>
      <c r="AC12" s="69">
        <f t="shared" si="17"/>
        <v>0.6184291898577613</v>
      </c>
      <c r="AD12" s="70">
        <v>1.1999999999999999E-7</v>
      </c>
      <c r="AE12" s="11">
        <v>1095</v>
      </c>
      <c r="AF12" s="16">
        <f t="shared" si="18"/>
        <v>0.91324200913242004</v>
      </c>
      <c r="AG12" s="16">
        <f t="shared" si="19"/>
        <v>822</v>
      </c>
      <c r="AH12" s="10">
        <v>6.4699999999999996E-16</v>
      </c>
      <c r="AI12" s="17">
        <f t="shared" si="20"/>
        <v>6.4699999999999997E-12</v>
      </c>
    </row>
    <row r="13" spans="1:35" x14ac:dyDescent="0.3">
      <c r="A13" s="48">
        <v>3.1192339542968801</v>
      </c>
      <c r="B13" s="9">
        <v>-15.2463014495781</v>
      </c>
      <c r="C13" s="19">
        <f t="shared" si="0"/>
        <v>320.59153454086271</v>
      </c>
      <c r="D13" s="29">
        <f t="shared" si="1"/>
        <v>47.59153454086271</v>
      </c>
      <c r="E13" s="30">
        <f t="shared" si="2"/>
        <v>5.6715080183481228E-16</v>
      </c>
      <c r="F13" s="11">
        <v>23.695644283121499</v>
      </c>
      <c r="G13" s="35">
        <f t="shared" si="3"/>
        <v>2.3695644283121498</v>
      </c>
      <c r="H13" s="9">
        <v>-36.3052631578947</v>
      </c>
      <c r="I13" s="9">
        <f t="shared" si="4"/>
        <v>422.01848915849229</v>
      </c>
      <c r="J13" s="35">
        <f t="shared" si="5"/>
        <v>149.01848915849229</v>
      </c>
      <c r="K13" s="9">
        <f t="shared" si="6"/>
        <v>1.7093246141484077E-16</v>
      </c>
      <c r="L13" s="37">
        <f t="shared" si="7"/>
        <v>1.7093246141484077E-12</v>
      </c>
      <c r="M13" s="23">
        <v>3.2388041652670401</v>
      </c>
      <c r="N13" s="9">
        <v>1.43108624942291</v>
      </c>
      <c r="O13" s="9">
        <f t="shared" si="8"/>
        <v>308.7559324283967</v>
      </c>
      <c r="P13" s="16">
        <f t="shared" si="9"/>
        <v>35.755932428396704</v>
      </c>
      <c r="Q13" s="21">
        <f t="shared" si="10"/>
        <v>1.4310862494229101E-5</v>
      </c>
      <c r="R13" s="11"/>
      <c r="S13" s="9"/>
      <c r="T13" s="9"/>
      <c r="U13" s="13"/>
      <c r="AA13" s="66">
        <v>1347</v>
      </c>
      <c r="AB13" s="9">
        <f t="shared" si="16"/>
        <v>1620</v>
      </c>
      <c r="AC13" s="69">
        <f t="shared" si="17"/>
        <v>0.61728395061728392</v>
      </c>
      <c r="AD13" s="70">
        <v>1.3E-7</v>
      </c>
      <c r="AE13" s="11">
        <v>1087</v>
      </c>
      <c r="AF13" s="16">
        <f t="shared" si="18"/>
        <v>0.91996320147194111</v>
      </c>
      <c r="AG13" s="16">
        <f t="shared" si="19"/>
        <v>814</v>
      </c>
      <c r="AH13" s="10">
        <v>4.1700000000000002E-16</v>
      </c>
      <c r="AI13" s="17">
        <f t="shared" si="20"/>
        <v>4.1700000000000002E-12</v>
      </c>
    </row>
    <row r="14" spans="1:35" x14ac:dyDescent="0.3">
      <c r="A14" s="48">
        <v>2.7202142659972099</v>
      </c>
      <c r="B14" s="9">
        <v>-13.540380038645401</v>
      </c>
      <c r="C14" s="19">
        <f t="shared" si="0"/>
        <v>367.6180999783881</v>
      </c>
      <c r="D14" s="29">
        <f t="shared" si="1"/>
        <v>94.618099978388102</v>
      </c>
      <c r="E14" s="30">
        <f t="shared" si="2"/>
        <v>2.8815088737744856E-14</v>
      </c>
      <c r="F14" s="11">
        <v>27.111978221415601</v>
      </c>
      <c r="G14" s="35">
        <f t="shared" si="3"/>
        <v>2.71119782214156</v>
      </c>
      <c r="H14" s="9">
        <v>-40.010526315789399</v>
      </c>
      <c r="I14" s="9">
        <f t="shared" si="4"/>
        <v>368.84066217274602</v>
      </c>
      <c r="J14" s="35">
        <f t="shared" si="5"/>
        <v>95.840662172746022</v>
      </c>
      <c r="K14" s="9">
        <f t="shared" si="6"/>
        <v>4.2038692790253632E-18</v>
      </c>
      <c r="L14" s="37">
        <f t="shared" si="7"/>
        <v>4.2038692790253635E-14</v>
      </c>
      <c r="M14" s="23">
        <v>3.2663621095062099</v>
      </c>
      <c r="N14" s="9">
        <v>1.2434272866423399</v>
      </c>
      <c r="O14" s="9">
        <f t="shared" si="8"/>
        <v>306.15099198269058</v>
      </c>
      <c r="P14" s="16">
        <f t="shared" si="9"/>
        <v>33.150991982690584</v>
      </c>
      <c r="Q14" s="21">
        <f t="shared" si="10"/>
        <v>1.2434272866423401E-5</v>
      </c>
      <c r="R14" s="11"/>
      <c r="S14" s="9"/>
      <c r="T14" s="9"/>
      <c r="U14" s="13"/>
      <c r="AE14" s="11">
        <v>1074</v>
      </c>
      <c r="AF14" s="16">
        <f t="shared" si="18"/>
        <v>0.93109869646182497</v>
      </c>
      <c r="AG14" s="16">
        <f t="shared" si="19"/>
        <v>801</v>
      </c>
      <c r="AH14" s="10">
        <v>3.5600000000000002E-16</v>
      </c>
      <c r="AI14" s="17">
        <f t="shared" si="20"/>
        <v>3.5600000000000002E-12</v>
      </c>
    </row>
    <row r="15" spans="1:35" x14ac:dyDescent="0.3">
      <c r="A15" s="48">
        <v>2.50410253732122</v>
      </c>
      <c r="B15" s="9">
        <v>-12.6279590268503</v>
      </c>
      <c r="C15" s="19">
        <f t="shared" si="0"/>
        <v>399.34466943584368</v>
      </c>
      <c r="D15" s="29">
        <f t="shared" si="1"/>
        <v>126.34466943584368</v>
      </c>
      <c r="E15" s="30">
        <f t="shared" si="2"/>
        <v>2.3552714795324545E-13</v>
      </c>
      <c r="F15" s="11">
        <v>28.139201451905599</v>
      </c>
      <c r="G15" s="35">
        <f t="shared" si="3"/>
        <v>2.81392014519056</v>
      </c>
      <c r="H15" s="9">
        <v>-40.852631578947303</v>
      </c>
      <c r="I15" s="9">
        <f t="shared" si="4"/>
        <v>355.37611175966032</v>
      </c>
      <c r="J15" s="35">
        <f t="shared" si="5"/>
        <v>82.376111759660319</v>
      </c>
      <c r="K15" s="9">
        <f t="shared" si="6"/>
        <v>1.8110378793522654E-18</v>
      </c>
      <c r="L15" s="37">
        <f t="shared" si="7"/>
        <v>1.8110378793522653E-14</v>
      </c>
      <c r="M15" s="23">
        <v>3.31566006046355</v>
      </c>
      <c r="N15" s="9">
        <v>1.3339609035017099</v>
      </c>
      <c r="O15" s="9">
        <f t="shared" si="8"/>
        <v>301.59907281333108</v>
      </c>
      <c r="P15" s="16">
        <f t="shared" si="9"/>
        <v>28.599072813331077</v>
      </c>
      <c r="Q15" s="21">
        <f t="shared" si="10"/>
        <v>1.3339609035017101E-5</v>
      </c>
      <c r="R15" s="11"/>
      <c r="S15" s="9"/>
      <c r="T15" s="9"/>
      <c r="U15" s="13"/>
      <c r="AE15" s="11">
        <v>1062</v>
      </c>
      <c r="AF15" s="16">
        <f t="shared" si="18"/>
        <v>0.94161958568738224</v>
      </c>
      <c r="AG15" s="16">
        <f t="shared" si="19"/>
        <v>789</v>
      </c>
      <c r="AH15" s="10">
        <v>2.9299999999999998E-16</v>
      </c>
      <c r="AI15" s="17">
        <f t="shared" si="20"/>
        <v>2.9299999999999998E-12</v>
      </c>
    </row>
    <row r="16" spans="1:35" x14ac:dyDescent="0.3">
      <c r="A16" s="48">
        <v>2.3463230850722501</v>
      </c>
      <c r="B16" s="9">
        <v>-12.0332067532583</v>
      </c>
      <c r="C16" s="19">
        <f t="shared" si="0"/>
        <v>426.19876451039016</v>
      </c>
      <c r="D16" s="29">
        <f t="shared" si="1"/>
        <v>153.19876451039016</v>
      </c>
      <c r="E16" s="30">
        <f t="shared" si="2"/>
        <v>9.2638869532475005E-13</v>
      </c>
      <c r="F16" s="11">
        <v>30.191470054446398</v>
      </c>
      <c r="G16" s="35">
        <f t="shared" si="3"/>
        <v>3.0191470054446397</v>
      </c>
      <c r="H16" s="9">
        <v>-42.789473684210499</v>
      </c>
      <c r="I16" s="9">
        <f t="shared" si="4"/>
        <v>331.21938024105145</v>
      </c>
      <c r="J16" s="35">
        <f t="shared" si="5"/>
        <v>58.219380241051454</v>
      </c>
      <c r="K16" s="9">
        <f t="shared" si="6"/>
        <v>2.6107644800398729E-19</v>
      </c>
      <c r="L16" s="37">
        <f t="shared" si="7"/>
        <v>2.6107644800398728E-15</v>
      </c>
      <c r="M16" s="23">
        <v>3.3540476990258599</v>
      </c>
      <c r="N16" s="9">
        <v>1.23471897631242</v>
      </c>
      <c r="O16" s="9">
        <f t="shared" si="8"/>
        <v>298.1472208312473</v>
      </c>
      <c r="P16" s="16">
        <f t="shared" si="9"/>
        <v>25.147220831247296</v>
      </c>
      <c r="Q16" s="21">
        <f t="shared" si="10"/>
        <v>1.2347189763124201E-5</v>
      </c>
      <c r="R16" s="11"/>
      <c r="S16" s="9"/>
      <c r="T16" s="9"/>
      <c r="U16" s="13"/>
      <c r="AE16" s="11">
        <v>1055</v>
      </c>
      <c r="AF16" s="16">
        <f t="shared" si="18"/>
        <v>0.94786729857819907</v>
      </c>
      <c r="AG16" s="16">
        <f t="shared" si="19"/>
        <v>782</v>
      </c>
      <c r="AH16" s="10">
        <v>2.08E-16</v>
      </c>
      <c r="AI16" s="17">
        <f t="shared" si="20"/>
        <v>2.08E-12</v>
      </c>
    </row>
    <row r="17" spans="1:35" x14ac:dyDescent="0.3">
      <c r="A17" s="48">
        <v>2.0886861286640399</v>
      </c>
      <c r="B17" s="9">
        <v>-10.962175187818399</v>
      </c>
      <c r="C17" s="19">
        <f t="shared" si="0"/>
        <v>478.76987656331949</v>
      </c>
      <c r="D17" s="29">
        <f t="shared" si="1"/>
        <v>205.76987656331949</v>
      </c>
      <c r="E17" s="30">
        <f t="shared" si="2"/>
        <v>1.0910001547296868E-11</v>
      </c>
      <c r="F17" s="11">
        <v>31.135390199637001</v>
      </c>
      <c r="G17" s="35">
        <f t="shared" si="3"/>
        <v>3.1135390199637003</v>
      </c>
      <c r="H17" s="9">
        <v>-43.294736842105202</v>
      </c>
      <c r="I17" s="9">
        <f t="shared" si="4"/>
        <v>321.17792440952246</v>
      </c>
      <c r="J17" s="35">
        <f t="shared" si="5"/>
        <v>48.177924409522461</v>
      </c>
      <c r="K17" s="9">
        <f t="shared" si="6"/>
        <v>1.5751963399307875E-19</v>
      </c>
      <c r="L17" s="37">
        <f t="shared" si="7"/>
        <v>1.5751963399307874E-15</v>
      </c>
      <c r="M17" s="23">
        <v>3.3939737991266301</v>
      </c>
      <c r="N17" s="9">
        <v>1.1428602940791099</v>
      </c>
      <c r="O17" s="9">
        <f t="shared" si="8"/>
        <v>294.63987030699224</v>
      </c>
      <c r="P17" s="16">
        <f t="shared" si="9"/>
        <v>21.639870306992236</v>
      </c>
      <c r="Q17" s="21">
        <f t="shared" si="10"/>
        <v>1.14286029407911E-5</v>
      </c>
      <c r="R17" s="11"/>
      <c r="S17" s="9"/>
      <c r="T17" s="9"/>
      <c r="U17" s="13"/>
      <c r="AE17" s="11">
        <v>1049</v>
      </c>
      <c r="AF17" s="16">
        <f t="shared" si="18"/>
        <v>0.95328884652049573</v>
      </c>
      <c r="AG17" s="16">
        <f t="shared" si="19"/>
        <v>776</v>
      </c>
      <c r="AH17" s="10">
        <v>1.9000000000000001E-16</v>
      </c>
      <c r="AI17" s="17">
        <f t="shared" si="20"/>
        <v>1.9E-12</v>
      </c>
    </row>
    <row r="18" spans="1:35" x14ac:dyDescent="0.3">
      <c r="A18" s="48">
        <v>1.2485470646602801</v>
      </c>
      <c r="B18" s="9">
        <v>-7.1128477532658403</v>
      </c>
      <c r="C18" s="19">
        <f t="shared" si="0"/>
        <v>800.93096071800244</v>
      </c>
      <c r="D18" s="29">
        <f t="shared" si="1"/>
        <v>527.93096071800244</v>
      </c>
      <c r="E18" s="30">
        <f t="shared" si="2"/>
        <v>7.7117376517698983E-8</v>
      </c>
      <c r="F18" s="11">
        <v>31.734482758620601</v>
      </c>
      <c r="G18" s="35">
        <f t="shared" si="3"/>
        <v>3.1734482758620599</v>
      </c>
      <c r="H18" s="9">
        <v>-43.8</v>
      </c>
      <c r="I18" s="9">
        <f t="shared" si="4"/>
        <v>315.1146365315667</v>
      </c>
      <c r="J18" s="35">
        <f t="shared" si="5"/>
        <v>42.114636531566703</v>
      </c>
      <c r="K18" s="9">
        <f t="shared" si="6"/>
        <v>9.50389638092987E-20</v>
      </c>
      <c r="L18" s="37">
        <f t="shared" si="7"/>
        <v>9.5038963809298705E-16</v>
      </c>
      <c r="M18" s="23">
        <v>3.52153846153846</v>
      </c>
      <c r="N18" s="9">
        <v>1</v>
      </c>
      <c r="O18" s="9">
        <f t="shared" si="8"/>
        <v>283.96679772826576</v>
      </c>
      <c r="P18" s="16">
        <f t="shared" si="9"/>
        <v>10.96679772826576</v>
      </c>
      <c r="Q18" s="21">
        <f t="shared" si="10"/>
        <v>1.0000000000000001E-5</v>
      </c>
      <c r="R18" s="11"/>
      <c r="S18" s="9"/>
      <c r="T18" s="9"/>
      <c r="U18" s="13"/>
      <c r="AE18" s="11">
        <v>1037</v>
      </c>
      <c r="AF18" s="16">
        <f t="shared" si="18"/>
        <v>0.96432015429122464</v>
      </c>
      <c r="AG18" s="16">
        <f t="shared" si="19"/>
        <v>764</v>
      </c>
      <c r="AH18" s="10">
        <v>8.0800000000000001E-17</v>
      </c>
      <c r="AI18" s="17">
        <f t="shared" si="20"/>
        <v>8.0799999999999999E-13</v>
      </c>
    </row>
    <row r="19" spans="1:35" x14ac:dyDescent="0.3">
      <c r="A19" s="48">
        <v>1.1240534471310499</v>
      </c>
      <c r="B19" s="9">
        <v>-6.6768552436231197</v>
      </c>
      <c r="C19" s="19">
        <f t="shared" si="0"/>
        <v>889.63741230661697</v>
      </c>
      <c r="D19" s="29">
        <f t="shared" si="1"/>
        <v>616.63741230661697</v>
      </c>
      <c r="E19" s="30">
        <f t="shared" si="2"/>
        <v>2.1044797751873878E-7</v>
      </c>
      <c r="F19" s="11">
        <v>32.5023593466424</v>
      </c>
      <c r="G19" s="35">
        <f t="shared" si="3"/>
        <v>3.2502359346642402</v>
      </c>
      <c r="H19" s="9">
        <v>-44.726315789473603</v>
      </c>
      <c r="I19" s="9">
        <f t="shared" si="4"/>
        <v>307.66997230411931</v>
      </c>
      <c r="J19" s="35">
        <f t="shared" si="5"/>
        <v>34.669972304119312</v>
      </c>
      <c r="K19" s="9">
        <f t="shared" si="6"/>
        <v>3.7636381038459202E-20</v>
      </c>
      <c r="L19" s="37">
        <f t="shared" si="7"/>
        <v>3.76363810384592E-16</v>
      </c>
      <c r="M19" s="23">
        <v>3.5320927107826599</v>
      </c>
      <c r="N19" s="9">
        <v>0.79859637708067599</v>
      </c>
      <c r="O19" s="9">
        <f t="shared" si="8"/>
        <v>283.11827629757056</v>
      </c>
      <c r="P19" s="16">
        <f t="shared" si="9"/>
        <v>10.11827629757056</v>
      </c>
      <c r="Q19" s="21">
        <f t="shared" si="10"/>
        <v>7.9859637708067599E-6</v>
      </c>
      <c r="R19" s="11"/>
      <c r="S19" s="9"/>
      <c r="T19" s="9"/>
      <c r="U19" s="13"/>
      <c r="AE19" s="11">
        <v>1034</v>
      </c>
      <c r="AF19" s="16">
        <f t="shared" si="18"/>
        <v>0.96711798839458418</v>
      </c>
      <c r="AG19" s="16">
        <f t="shared" si="19"/>
        <v>761</v>
      </c>
      <c r="AH19" s="10">
        <v>8.62E-17</v>
      </c>
      <c r="AI19" s="17">
        <f t="shared" si="20"/>
        <v>8.6199999999999996E-13</v>
      </c>
    </row>
    <row r="20" spans="1:35" x14ac:dyDescent="0.3">
      <c r="A20" s="48">
        <v>1.03292772998903</v>
      </c>
      <c r="B20" s="9">
        <v>-6.4394616492214896</v>
      </c>
      <c r="C20" s="19">
        <f t="shared" si="0"/>
        <v>968.12194209426468</v>
      </c>
      <c r="D20" s="29">
        <f t="shared" si="1"/>
        <v>695.12194209426468</v>
      </c>
      <c r="E20" s="30">
        <f t="shared" si="2"/>
        <v>3.6352840484293596E-7</v>
      </c>
      <c r="F20" s="11">
        <v>33.788929219600703</v>
      </c>
      <c r="G20" s="35">
        <f t="shared" si="3"/>
        <v>3.3788929219600705</v>
      </c>
      <c r="H20" s="9">
        <v>-45.484210526315699</v>
      </c>
      <c r="I20" s="9">
        <f t="shared" si="4"/>
        <v>295.95492461474851</v>
      </c>
      <c r="J20" s="35">
        <f t="shared" si="5"/>
        <v>22.954924614748506</v>
      </c>
      <c r="K20" s="9">
        <f t="shared" si="6"/>
        <v>1.7638366187964329E-20</v>
      </c>
      <c r="L20" s="37">
        <f t="shared" si="7"/>
        <v>1.7638366187964328E-16</v>
      </c>
      <c r="M20" s="23">
        <f>1000/O20</f>
        <v>0.93196644920782856</v>
      </c>
      <c r="N20" s="9"/>
      <c r="O20" s="19">
        <f>P20+273</f>
        <v>1073</v>
      </c>
      <c r="P20" s="16">
        <v>800</v>
      </c>
      <c r="Q20" s="17">
        <v>2.7E-4</v>
      </c>
      <c r="R20" s="11"/>
      <c r="S20" s="9"/>
      <c r="T20" s="9"/>
      <c r="U20" s="13"/>
      <c r="AE20" s="11">
        <v>1026</v>
      </c>
      <c r="AF20" s="16">
        <f t="shared" si="18"/>
        <v>0.97465886939571145</v>
      </c>
      <c r="AG20" s="16">
        <f t="shared" si="19"/>
        <v>753</v>
      </c>
      <c r="AH20" s="10">
        <v>5.0500000000000001E-17</v>
      </c>
      <c r="AI20" s="17">
        <f t="shared" si="20"/>
        <v>5.0499999999999997E-13</v>
      </c>
    </row>
    <row r="21" spans="1:35" x14ac:dyDescent="0.3">
      <c r="A21" s="48">
        <v>1.00788128828176</v>
      </c>
      <c r="B21" s="9">
        <v>-6.2805526749677298</v>
      </c>
      <c r="C21" s="19">
        <f t="shared" si="0"/>
        <v>992.1803407073902</v>
      </c>
      <c r="D21" s="29">
        <f t="shared" si="1"/>
        <v>719.1803407073902</v>
      </c>
      <c r="E21" s="30">
        <f t="shared" si="2"/>
        <v>5.2414002494555973E-7</v>
      </c>
      <c r="F21" s="11">
        <v>34.296007259528103</v>
      </c>
      <c r="G21" s="35">
        <f t="shared" si="3"/>
        <v>3.4296007259528105</v>
      </c>
      <c r="H21" s="9">
        <v>-46.663157894736798</v>
      </c>
      <c r="I21" s="9">
        <f t="shared" si="4"/>
        <v>291.57913118944202</v>
      </c>
      <c r="J21" s="35">
        <f t="shared" si="5"/>
        <v>18.579131189442023</v>
      </c>
      <c r="K21" s="9">
        <f t="shared" si="6"/>
        <v>5.4256030695282295E-21</v>
      </c>
      <c r="L21" s="37">
        <f t="shared" si="7"/>
        <v>5.4256030695282292E-17</v>
      </c>
      <c r="M21" s="11"/>
      <c r="N21" s="9"/>
      <c r="O21" s="9"/>
      <c r="P21" s="9"/>
      <c r="Q21" s="13"/>
      <c r="R21" s="11"/>
      <c r="S21" s="9"/>
      <c r="T21" s="9"/>
      <c r="U21" s="13"/>
      <c r="AE21" s="11">
        <v>1021</v>
      </c>
      <c r="AF21" s="16">
        <f t="shared" si="18"/>
        <v>0.97943192948090108</v>
      </c>
      <c r="AG21" s="16">
        <f t="shared" si="19"/>
        <v>748</v>
      </c>
      <c r="AH21" s="10">
        <v>3.5300000000000002E-17</v>
      </c>
      <c r="AI21" s="17">
        <f t="shared" si="20"/>
        <v>3.5300000000000001E-13</v>
      </c>
    </row>
    <row r="22" spans="1:35" x14ac:dyDescent="0.3">
      <c r="A22" s="48">
        <v>0.97443132222711304</v>
      </c>
      <c r="B22" s="9">
        <v>-6.0421146084348498</v>
      </c>
      <c r="C22" s="19">
        <f t="shared" si="0"/>
        <v>1026.2395893786013</v>
      </c>
      <c r="D22" s="29">
        <f t="shared" si="1"/>
        <v>753.23958937860129</v>
      </c>
      <c r="E22" s="30">
        <f t="shared" si="2"/>
        <v>9.0758099187580112E-7</v>
      </c>
      <c r="F22" s="11">
        <v>35.409437386569799</v>
      </c>
      <c r="G22" s="35">
        <f t="shared" si="3"/>
        <v>3.54094373865698</v>
      </c>
      <c r="H22" s="9">
        <v>-47.505263157894703</v>
      </c>
      <c r="I22" s="9">
        <f t="shared" si="4"/>
        <v>282.41058706549319</v>
      </c>
      <c r="J22" s="35">
        <f t="shared" si="5"/>
        <v>9.4105870654931891</v>
      </c>
      <c r="K22" s="9">
        <f t="shared" si="6"/>
        <v>2.3373639913759704E-21</v>
      </c>
      <c r="L22" s="37">
        <f t="shared" si="7"/>
        <v>2.3373639913759704E-17</v>
      </c>
      <c r="M22" s="11"/>
      <c r="N22" s="9"/>
      <c r="O22" s="9"/>
      <c r="P22" s="9"/>
      <c r="Q22" s="13"/>
      <c r="R22" s="11"/>
      <c r="S22" s="9"/>
      <c r="T22" s="9"/>
      <c r="U22" s="13"/>
      <c r="AE22" s="11">
        <v>1017</v>
      </c>
      <c r="AF22" s="16">
        <f t="shared" si="18"/>
        <v>0.98328416912487704</v>
      </c>
      <c r="AG22" s="16">
        <f t="shared" si="19"/>
        <v>744</v>
      </c>
      <c r="AH22" s="10">
        <v>2.8400000000000003E-17</v>
      </c>
      <c r="AI22" s="17">
        <f t="shared" si="20"/>
        <v>2.8400000000000005E-13</v>
      </c>
    </row>
    <row r="23" spans="1:35" x14ac:dyDescent="0.3">
      <c r="A23" s="48">
        <v>0.94130961884227804</v>
      </c>
      <c r="B23" s="9">
        <v>-5.9630331470691296</v>
      </c>
      <c r="C23" s="19">
        <f t="shared" si="0"/>
        <v>1062.3497093654537</v>
      </c>
      <c r="D23" s="29">
        <f t="shared" si="1"/>
        <v>789.34970936545369</v>
      </c>
      <c r="E23" s="30">
        <f t="shared" si="2"/>
        <v>1.0888469850620415E-6</v>
      </c>
      <c r="F23" s="11">
        <v>38.660617059891102</v>
      </c>
      <c r="G23" s="35">
        <f t="shared" si="3"/>
        <v>3.86606170598911</v>
      </c>
      <c r="H23" s="9">
        <v>-50.368421052631497</v>
      </c>
      <c r="I23" s="9">
        <f t="shared" si="4"/>
        <v>258.66115857665949</v>
      </c>
      <c r="J23" s="35">
        <f t="shared" si="5"/>
        <v>-14.338841423340511</v>
      </c>
      <c r="K23" s="9">
        <f t="shared" si="6"/>
        <v>1.3343589553081311E-22</v>
      </c>
      <c r="L23" s="37">
        <f t="shared" si="7"/>
        <v>1.3343589553081312E-18</v>
      </c>
      <c r="M23" s="11"/>
      <c r="N23" s="9"/>
      <c r="O23" s="9"/>
      <c r="P23" s="9"/>
      <c r="Q23" s="13"/>
      <c r="R23" s="11"/>
      <c r="S23" s="9"/>
      <c r="T23" s="9"/>
      <c r="U23" s="13"/>
      <c r="AE23" s="11">
        <v>993</v>
      </c>
      <c r="AF23" s="16">
        <f t="shared" si="18"/>
        <v>1.0070493454179255</v>
      </c>
      <c r="AG23" s="16">
        <f t="shared" si="19"/>
        <v>720</v>
      </c>
      <c r="AH23" s="10">
        <v>1.1999999999999999E-17</v>
      </c>
      <c r="AI23" s="17">
        <f t="shared" si="20"/>
        <v>1.1999999999999999E-13</v>
      </c>
    </row>
    <row r="24" spans="1:35" x14ac:dyDescent="0.3">
      <c r="A24" s="29">
        <v>0.91626317713501404</v>
      </c>
      <c r="B24" s="9">
        <v>-5.8041241728153699</v>
      </c>
      <c r="C24" s="19">
        <f t="shared" si="0"/>
        <v>1091.3894882546906</v>
      </c>
      <c r="D24" s="29">
        <f t="shared" si="1"/>
        <v>818.3894882546906</v>
      </c>
      <c r="E24" s="30">
        <f t="shared" si="2"/>
        <v>1.5699138727794682E-6</v>
      </c>
      <c r="F24" s="11">
        <v>40.203629764065298</v>
      </c>
      <c r="G24" s="35">
        <f t="shared" si="3"/>
        <v>4.0203629764065294</v>
      </c>
      <c r="H24" s="9">
        <v>-51.378947368421002</v>
      </c>
      <c r="I24" s="9">
        <f t="shared" si="4"/>
        <v>248.73376007800604</v>
      </c>
      <c r="J24" s="35">
        <f t="shared" si="5"/>
        <v>-24.266239921993957</v>
      </c>
      <c r="K24" s="9">
        <f t="shared" si="6"/>
        <v>4.8574313551333972E-23</v>
      </c>
      <c r="L24" s="37">
        <f t="shared" si="7"/>
        <v>4.8574313551333974E-19</v>
      </c>
      <c r="M24" s="11"/>
      <c r="N24" s="9"/>
      <c r="O24" s="9"/>
      <c r="P24" s="9"/>
      <c r="Q24" s="13"/>
      <c r="R24" s="11"/>
      <c r="S24" s="9"/>
      <c r="T24" s="9"/>
      <c r="U24" s="13"/>
      <c r="AE24" s="11">
        <v>974</v>
      </c>
      <c r="AF24" s="16">
        <f t="shared" si="18"/>
        <v>1.0266940451745379</v>
      </c>
      <c r="AG24" s="16">
        <f t="shared" si="19"/>
        <v>701</v>
      </c>
      <c r="AH24" s="10">
        <v>3.3499999999999999E-18</v>
      </c>
      <c r="AI24" s="17">
        <f t="shared" si="20"/>
        <v>3.3499999999999996E-14</v>
      </c>
    </row>
    <row r="25" spans="1:35" x14ac:dyDescent="0.3">
      <c r="A25" s="9"/>
      <c r="B25" s="9"/>
      <c r="C25" s="9"/>
      <c r="D25" s="9"/>
      <c r="E25" s="13"/>
      <c r="F25" s="11">
        <v>41.913248638838397</v>
      </c>
      <c r="G25" s="35">
        <f t="shared" si="3"/>
        <v>4.1913248638838398</v>
      </c>
      <c r="H25" s="9">
        <v>-53.063157894736797</v>
      </c>
      <c r="I25" s="9">
        <f t="shared" si="4"/>
        <v>238.58804375124535</v>
      </c>
      <c r="J25" s="35">
        <f t="shared" si="5"/>
        <v>-34.411956248754649</v>
      </c>
      <c r="K25" s="9">
        <f t="shared" si="6"/>
        <v>9.0149502415294673E-24</v>
      </c>
      <c r="L25" s="37">
        <f t="shared" si="7"/>
        <v>9.0149502415294671E-20</v>
      </c>
      <c r="M25" s="11"/>
      <c r="N25" s="9"/>
      <c r="O25" s="9"/>
      <c r="P25" s="9"/>
      <c r="Q25" s="13"/>
      <c r="R25" s="11"/>
      <c r="S25" s="9"/>
      <c r="T25" s="9"/>
      <c r="U25" s="13"/>
      <c r="AE25" s="11">
        <v>968</v>
      </c>
      <c r="AF25" s="16">
        <f t="shared" si="18"/>
        <v>1.0330578512396693</v>
      </c>
      <c r="AG25" s="16">
        <f t="shared" si="19"/>
        <v>695</v>
      </c>
      <c r="AH25" s="10">
        <v>3.3200000000000001E-18</v>
      </c>
      <c r="AI25" s="17">
        <f t="shared" si="20"/>
        <v>3.32E-14</v>
      </c>
    </row>
    <row r="26" spans="1:35" x14ac:dyDescent="0.3">
      <c r="A26" s="9"/>
      <c r="B26" s="9"/>
      <c r="C26" s="9"/>
      <c r="D26" s="9"/>
      <c r="E26" s="13"/>
      <c r="F26" s="11">
        <v>43.201270417422798</v>
      </c>
      <c r="G26" s="35">
        <f t="shared" si="3"/>
        <v>4.3201270417422801</v>
      </c>
      <c r="H26" s="9">
        <v>-53.6526315789473</v>
      </c>
      <c r="I26" s="9">
        <f t="shared" si="4"/>
        <v>231.47467431807431</v>
      </c>
      <c r="J26" s="35">
        <f t="shared" si="5"/>
        <v>-41.525325681925693</v>
      </c>
      <c r="K26" s="9">
        <f t="shared" si="6"/>
        <v>4.9998637042361657E-24</v>
      </c>
      <c r="L26" s="37">
        <f t="shared" si="7"/>
        <v>4.9998637042361658E-20</v>
      </c>
      <c r="M26" s="11"/>
      <c r="N26" s="9"/>
      <c r="O26" s="9"/>
      <c r="P26" s="9"/>
      <c r="Q26" s="13"/>
      <c r="R26" s="11"/>
      <c r="S26" s="9"/>
      <c r="T26" s="9"/>
      <c r="U26" s="13"/>
      <c r="AE26" s="11">
        <v>944</v>
      </c>
      <c r="AF26" s="16">
        <f t="shared" si="18"/>
        <v>1.0593220338983051</v>
      </c>
      <c r="AG26" s="16">
        <f t="shared" si="19"/>
        <v>671</v>
      </c>
      <c r="AH26" s="10">
        <v>1.23E-18</v>
      </c>
      <c r="AI26" s="17">
        <f t="shared" si="20"/>
        <v>1.23E-14</v>
      </c>
    </row>
    <row r="27" spans="1:35" x14ac:dyDescent="0.3">
      <c r="AE27" s="11">
        <v>938</v>
      </c>
      <c r="AF27" s="16">
        <f t="shared" si="18"/>
        <v>1.0660980810234542</v>
      </c>
      <c r="AG27" s="16">
        <f t="shared" si="19"/>
        <v>665</v>
      </c>
      <c r="AH27" s="10">
        <v>6.6800000000000003E-19</v>
      </c>
      <c r="AI27" s="17">
        <f t="shared" si="20"/>
        <v>6.6800000000000005E-15</v>
      </c>
    </row>
    <row r="28" spans="1:35" x14ac:dyDescent="0.3">
      <c r="AE28" s="11">
        <v>928</v>
      </c>
      <c r="AF28" s="16">
        <f t="shared" si="18"/>
        <v>1.0775862068965518</v>
      </c>
      <c r="AG28" s="16">
        <f t="shared" si="19"/>
        <v>655</v>
      </c>
      <c r="AH28" s="10">
        <v>4.3199999999999999E-19</v>
      </c>
      <c r="AI28" s="17">
        <f t="shared" si="20"/>
        <v>4.32E-15</v>
      </c>
    </row>
    <row r="29" spans="1:35" x14ac:dyDescent="0.3">
      <c r="AE29" s="11">
        <v>928</v>
      </c>
      <c r="AF29" s="16">
        <f t="shared" si="18"/>
        <v>1.0775862068965518</v>
      </c>
      <c r="AG29" s="16">
        <f t="shared" si="19"/>
        <v>655</v>
      </c>
      <c r="AH29" s="10">
        <v>3.7499999999999998E-19</v>
      </c>
      <c r="AI29" s="17">
        <f t="shared" si="20"/>
        <v>3.7499999999999998E-15</v>
      </c>
    </row>
    <row r="30" spans="1:35" x14ac:dyDescent="0.3">
      <c r="AE30" s="11">
        <v>927</v>
      </c>
      <c r="AF30" s="16">
        <f t="shared" si="18"/>
        <v>1.0787486515641855</v>
      </c>
      <c r="AG30" s="16">
        <f t="shared" si="19"/>
        <v>654</v>
      </c>
      <c r="AH30" s="10">
        <v>3.4700000000000001E-19</v>
      </c>
      <c r="AI30" s="17">
        <f t="shared" si="20"/>
        <v>3.47E-15</v>
      </c>
    </row>
    <row r="31" spans="1:35" x14ac:dyDescent="0.3">
      <c r="AE31" s="11">
        <v>894</v>
      </c>
      <c r="AF31" s="16">
        <f t="shared" si="18"/>
        <v>1.1185682326621924</v>
      </c>
      <c r="AG31" s="16">
        <f t="shared" si="19"/>
        <v>621</v>
      </c>
      <c r="AH31" s="10">
        <v>8.6800000000000005E-20</v>
      </c>
      <c r="AI31" s="17">
        <f t="shared" si="20"/>
        <v>8.68E-16</v>
      </c>
    </row>
    <row r="32" spans="1:35" x14ac:dyDescent="0.3">
      <c r="AE32" s="11">
        <v>885</v>
      </c>
      <c r="AF32" s="16">
        <f t="shared" si="18"/>
        <v>1.1299435028248588</v>
      </c>
      <c r="AG32" s="16">
        <f t="shared" si="19"/>
        <v>612</v>
      </c>
      <c r="AH32" s="10">
        <v>3.7200000000000001E-20</v>
      </c>
      <c r="AI32" s="17">
        <f t="shared" si="20"/>
        <v>3.7200000000000003E-16</v>
      </c>
    </row>
  </sheetData>
  <mergeCells count="7">
    <mergeCell ref="AE1:AI1"/>
    <mergeCell ref="A1:E1"/>
    <mergeCell ref="F1:L1"/>
    <mergeCell ref="M1:Q1"/>
    <mergeCell ref="R1:U1"/>
    <mergeCell ref="V1:Z1"/>
    <mergeCell ref="AA1:A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D87E-EF60-4D3A-BFF1-F0903124F4D3}">
  <dimension ref="A1:H16"/>
  <sheetViews>
    <sheetView topLeftCell="A16" workbookViewId="0">
      <selection activeCell="K22" sqref="K22"/>
    </sheetView>
  </sheetViews>
  <sheetFormatPr defaultRowHeight="14.4" x14ac:dyDescent="0.3"/>
  <cols>
    <col min="2" max="2" width="15.6640625" bestFit="1" customWidth="1"/>
    <col min="3" max="3" width="23.88671875" bestFit="1" customWidth="1"/>
    <col min="4" max="5" width="23.88671875" customWidth="1"/>
    <col min="6" max="6" width="26.5546875" bestFit="1" customWidth="1"/>
    <col min="7" max="7" width="14.21875" bestFit="1" customWidth="1"/>
    <col min="8" max="8" width="26.5546875" bestFit="1" customWidth="1"/>
  </cols>
  <sheetData>
    <row r="1" spans="1:8" x14ac:dyDescent="0.3">
      <c r="A1" s="4" t="s">
        <v>46</v>
      </c>
      <c r="B1" s="4" t="s">
        <v>47</v>
      </c>
      <c r="C1" s="4" t="s">
        <v>48</v>
      </c>
      <c r="D1" s="4" t="s">
        <v>55</v>
      </c>
      <c r="E1" s="4" t="s">
        <v>54</v>
      </c>
      <c r="F1" s="4" t="s">
        <v>52</v>
      </c>
      <c r="G1" s="4" t="s">
        <v>53</v>
      </c>
      <c r="H1" s="4" t="s">
        <v>49</v>
      </c>
    </row>
    <row r="2" spans="1:8" x14ac:dyDescent="0.3">
      <c r="A2" t="s">
        <v>5</v>
      </c>
      <c r="B2">
        <v>0.46</v>
      </c>
      <c r="C2" s="7">
        <v>2.7E-4</v>
      </c>
      <c r="D2" s="7"/>
      <c r="E2" s="7"/>
      <c r="F2">
        <v>3.1664483244147105E-5</v>
      </c>
      <c r="G2">
        <v>1.4310862494229101E-5</v>
      </c>
      <c r="H2" s="7">
        <v>1.9000000000000001E-4</v>
      </c>
    </row>
    <row r="3" spans="1:8" x14ac:dyDescent="0.3">
      <c r="A3" t="s">
        <v>7</v>
      </c>
      <c r="B3">
        <v>0.97</v>
      </c>
      <c r="H3" s="7">
        <v>6.0999999999999998E-7</v>
      </c>
    </row>
    <row r="4" spans="1:8" x14ac:dyDescent="0.3">
      <c r="A4" t="s">
        <v>3</v>
      </c>
      <c r="B4">
        <v>0.77</v>
      </c>
      <c r="C4" s="7">
        <v>1.7E-6</v>
      </c>
      <c r="D4" s="7"/>
      <c r="E4" s="7"/>
      <c r="F4">
        <v>2.8815088737744856E-14</v>
      </c>
      <c r="G4">
        <v>1.7299268453457001E-16</v>
      </c>
      <c r="H4" s="7">
        <v>6.7000000000000004E-7</v>
      </c>
    </row>
    <row r="5" spans="1:8" x14ac:dyDescent="0.3">
      <c r="A5" t="s">
        <v>4</v>
      </c>
      <c r="B5">
        <v>0.71</v>
      </c>
      <c r="C5" s="7">
        <v>7.3E-7</v>
      </c>
      <c r="D5" s="7"/>
      <c r="E5" s="7"/>
      <c r="F5">
        <v>4.2038692790253635E-14</v>
      </c>
      <c r="G5">
        <v>3.76363810384592E-16</v>
      </c>
      <c r="H5" s="7">
        <v>3.8000000000000001E-7</v>
      </c>
    </row>
    <row r="6" spans="1:8" x14ac:dyDescent="0.3">
      <c r="A6" s="12" t="s">
        <v>6</v>
      </c>
      <c r="B6" s="80">
        <v>0.6</v>
      </c>
      <c r="C6" s="12"/>
      <c r="D6" s="12"/>
      <c r="E6" s="12"/>
      <c r="F6" s="12"/>
      <c r="G6" s="12"/>
      <c r="H6" s="81">
        <v>1.0000000000000001E-9</v>
      </c>
    </row>
    <row r="7" spans="1:8" x14ac:dyDescent="0.3">
      <c r="A7" t="s">
        <v>50</v>
      </c>
      <c r="B7">
        <v>1.28</v>
      </c>
      <c r="C7" s="7">
        <v>3.0000000000000001E-12</v>
      </c>
      <c r="D7" s="7"/>
      <c r="E7" s="7"/>
    </row>
    <row r="8" spans="1:8" x14ac:dyDescent="0.3">
      <c r="A8" s="12" t="s">
        <v>51</v>
      </c>
      <c r="B8" s="12">
        <v>1.26</v>
      </c>
      <c r="C8" s="81"/>
      <c r="D8" s="81"/>
      <c r="E8" s="81"/>
      <c r="F8" s="12"/>
      <c r="G8" s="12"/>
      <c r="H8" s="81">
        <v>8.9999999999999996E-12</v>
      </c>
    </row>
    <row r="9" spans="1:8" x14ac:dyDescent="0.3">
      <c r="A9" t="s">
        <v>17</v>
      </c>
      <c r="B9">
        <v>1.26</v>
      </c>
      <c r="C9" s="7">
        <v>1.5000000000000001E-12</v>
      </c>
      <c r="D9" s="7"/>
      <c r="E9" s="7"/>
      <c r="H9" s="7">
        <v>2.4999999999999998E-12</v>
      </c>
    </row>
    <row r="10" spans="1:8" x14ac:dyDescent="0.3">
      <c r="A10" s="82" t="s">
        <v>16</v>
      </c>
      <c r="B10">
        <v>1.25</v>
      </c>
      <c r="C10" s="7">
        <v>8.5600000000000007E-12</v>
      </c>
      <c r="D10" s="7">
        <v>2.3999999999999999E-13</v>
      </c>
      <c r="E10" s="7">
        <v>5.2300000000000003E-11</v>
      </c>
      <c r="H10" s="7"/>
    </row>
    <row r="11" spans="1:8" x14ac:dyDescent="0.3">
      <c r="A11" s="82"/>
      <c r="B11">
        <v>1.25</v>
      </c>
      <c r="C11">
        <v>5.2599999999999998E-12</v>
      </c>
      <c r="D11">
        <v>1.4999999999999999E-13</v>
      </c>
      <c r="E11">
        <v>4.1499999999999999E-11</v>
      </c>
      <c r="H11" s="7">
        <v>7.9999999999999998E-12</v>
      </c>
    </row>
    <row r="12" spans="1:8" x14ac:dyDescent="0.3">
      <c r="A12" t="s">
        <v>14</v>
      </c>
      <c r="B12">
        <v>1.18</v>
      </c>
      <c r="C12" s="7">
        <v>5.6999999999999999E-13</v>
      </c>
      <c r="D12" s="7"/>
      <c r="E12" s="7">
        <v>5.0400000000000003E-12</v>
      </c>
      <c r="H12" s="7">
        <v>1.9999999999999999E-11</v>
      </c>
    </row>
    <row r="13" spans="1:8" x14ac:dyDescent="0.3">
      <c r="A13" s="82" t="s">
        <v>15</v>
      </c>
      <c r="B13" s="79">
        <v>1.3</v>
      </c>
      <c r="C13">
        <v>4.1700000000000002E-12</v>
      </c>
      <c r="D13">
        <v>3.3499999999999996E-14</v>
      </c>
      <c r="E13">
        <v>4.6699999999999998E-11</v>
      </c>
    </row>
    <row r="14" spans="1:8" x14ac:dyDescent="0.3">
      <c r="A14" s="82"/>
      <c r="B14" s="79">
        <v>1.3</v>
      </c>
      <c r="C14">
        <v>3.5600000000000002E-12</v>
      </c>
      <c r="E14">
        <v>4.7600000000000002E-11</v>
      </c>
    </row>
    <row r="15" spans="1:8" x14ac:dyDescent="0.3">
      <c r="A15" t="s">
        <v>22</v>
      </c>
      <c r="B15">
        <v>1.45</v>
      </c>
      <c r="D15" s="83">
        <v>7.290000000000001E-14</v>
      </c>
    </row>
    <row r="16" spans="1:8" x14ac:dyDescent="0.3">
      <c r="A16" t="s">
        <v>23</v>
      </c>
      <c r="B16" s="79">
        <v>1.4</v>
      </c>
      <c r="D16">
        <v>4.7800000000000002E-14</v>
      </c>
    </row>
  </sheetData>
  <mergeCells count="2">
    <mergeCell ref="A10:A11"/>
    <mergeCell ref="A13:A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8BC8-EA12-4516-85F9-4A27E61A225F}">
  <dimension ref="A1:AC84"/>
  <sheetViews>
    <sheetView tabSelected="1" workbookViewId="0">
      <selection activeCell="Q42" sqref="Q42"/>
    </sheetView>
  </sheetViews>
  <sheetFormatPr defaultRowHeight="14.4" x14ac:dyDescent="0.3"/>
  <cols>
    <col min="1" max="1" width="12" bestFit="1" customWidth="1"/>
    <col min="2" max="2" width="16.6640625" bestFit="1" customWidth="1"/>
    <col min="5" max="5" width="12.6640625" bestFit="1" customWidth="1"/>
    <col min="6" max="6" width="9.88671875" bestFit="1" customWidth="1"/>
    <col min="7" max="8" width="12" bestFit="1" customWidth="1"/>
    <col min="9" max="9" width="12.6640625" bestFit="1" customWidth="1"/>
    <col min="10" max="10" width="12" bestFit="1" customWidth="1"/>
    <col min="11" max="11" width="12" customWidth="1"/>
    <col min="14" max="16" width="12" bestFit="1" customWidth="1"/>
    <col min="17" max="17" width="15.6640625" bestFit="1" customWidth="1"/>
    <col min="20" max="21" width="12" bestFit="1" customWidth="1"/>
    <col min="23" max="23" width="9.88671875" bestFit="1" customWidth="1"/>
    <col min="26" max="26" width="12" bestFit="1" customWidth="1"/>
    <col min="29" max="29" width="9.88671875" bestFit="1" customWidth="1"/>
  </cols>
  <sheetData>
    <row r="1" spans="1:21" ht="15" thickBot="1" x14ac:dyDescent="0.35">
      <c r="A1" s="24" t="s">
        <v>56</v>
      </c>
      <c r="B1" s="25"/>
      <c r="C1" s="25"/>
      <c r="D1" s="25"/>
      <c r="E1" s="25"/>
      <c r="F1" s="26"/>
      <c r="G1" s="31" t="s">
        <v>57</v>
      </c>
      <c r="H1" s="32"/>
      <c r="I1" s="32"/>
      <c r="J1" s="32"/>
      <c r="K1" s="32"/>
      <c r="L1" s="32"/>
      <c r="M1" s="32"/>
      <c r="N1" s="32"/>
      <c r="O1" s="33"/>
      <c r="P1" s="38" t="s">
        <v>58</v>
      </c>
      <c r="Q1" s="39"/>
      <c r="R1" s="39"/>
      <c r="S1" s="39"/>
      <c r="T1" s="39"/>
      <c r="U1" s="40"/>
    </row>
    <row r="2" spans="1:21" x14ac:dyDescent="0.3">
      <c r="A2" s="20" t="s">
        <v>38</v>
      </c>
      <c r="B2" s="8" t="s">
        <v>36</v>
      </c>
      <c r="C2" s="18" t="s">
        <v>37</v>
      </c>
      <c r="D2" s="74" t="s">
        <v>64</v>
      </c>
      <c r="E2" s="18" t="s">
        <v>39</v>
      </c>
      <c r="F2" s="28" t="s">
        <v>40</v>
      </c>
      <c r="G2" s="20" t="s">
        <v>41</v>
      </c>
      <c r="H2" s="18" t="s">
        <v>38</v>
      </c>
      <c r="I2" s="18" t="s">
        <v>42</v>
      </c>
      <c r="J2" s="18" t="s">
        <v>37</v>
      </c>
      <c r="K2" s="34" t="s">
        <v>65</v>
      </c>
      <c r="L2" s="18" t="s">
        <v>39</v>
      </c>
      <c r="M2" s="18"/>
      <c r="N2" s="18" t="s">
        <v>43</v>
      </c>
      <c r="O2" s="36" t="s">
        <v>40</v>
      </c>
      <c r="P2" s="20" t="s">
        <v>38</v>
      </c>
      <c r="Q2" s="18" t="s">
        <v>44</v>
      </c>
      <c r="R2" s="18" t="s">
        <v>37</v>
      </c>
      <c r="S2" s="14" t="s">
        <v>64</v>
      </c>
      <c r="T2" s="18" t="s">
        <v>39</v>
      </c>
      <c r="U2" s="15" t="s">
        <v>40</v>
      </c>
    </row>
    <row r="3" spans="1:21" x14ac:dyDescent="0.3">
      <c r="A3" s="52">
        <v>4.20836025335909</v>
      </c>
      <c r="B3" s="9">
        <v>-19.967613903416101</v>
      </c>
      <c r="C3" s="19">
        <f>1000/A3</f>
        <v>237.62224234529481</v>
      </c>
      <c r="D3" s="75">
        <f>3915/C3</f>
        <v>16.475730391900839</v>
      </c>
      <c r="E3" s="19">
        <f>C3-273</f>
        <v>-35.377757654705192</v>
      </c>
      <c r="F3" s="30">
        <f>10^B3</f>
        <v>1.0774226385128251E-20</v>
      </c>
      <c r="G3" s="11">
        <v>5.90834845735026</v>
      </c>
      <c r="H3" s="19">
        <f>G3/10</f>
        <v>0.59083484573502598</v>
      </c>
      <c r="I3" s="9">
        <v>-19.6315789473684</v>
      </c>
      <c r="J3" s="9">
        <f>10000/G3</f>
        <v>1692.5203501766277</v>
      </c>
      <c r="K3" s="35">
        <f>63.05/J3</f>
        <v>3.7252137023593389E-2</v>
      </c>
      <c r="L3" s="19">
        <f>J3-273</f>
        <v>1419.5203501766277</v>
      </c>
      <c r="M3" s="19"/>
      <c r="N3" s="9">
        <f>EXP(I3)</f>
        <v>2.9792955786706153E-9</v>
      </c>
      <c r="O3" s="37">
        <f>N3*(100^2)</f>
        <v>2.9792955786706154E-5</v>
      </c>
      <c r="P3" s="52">
        <v>2.68571716493113</v>
      </c>
      <c r="Q3" s="9">
        <v>3.1664483244147101</v>
      </c>
      <c r="R3" s="9">
        <f>1000/P3</f>
        <v>372.34002636522712</v>
      </c>
      <c r="S3" s="16">
        <f>14.01/R3</f>
        <v>3.762689748068513E-2</v>
      </c>
      <c r="T3" s="19">
        <f>R3-273</f>
        <v>99.340026365227118</v>
      </c>
      <c r="U3" s="21">
        <f>Q3*(10^-5)</f>
        <v>3.1664483244147105E-5</v>
      </c>
    </row>
    <row r="4" spans="1:21" x14ac:dyDescent="0.3">
      <c r="A4" s="52">
        <v>4.0256984907377698</v>
      </c>
      <c r="B4" s="9">
        <v>-19.293630958153901</v>
      </c>
      <c r="C4" s="19">
        <f t="shared" ref="C4:C24" si="0">1000/A4</f>
        <v>248.40409740092954</v>
      </c>
      <c r="D4" s="75">
        <f t="shared" ref="D4:D24" si="1">3915/C4</f>
        <v>15.760609591238369</v>
      </c>
      <c r="E4" s="19">
        <f t="shared" ref="E4:E24" si="2">C4-273</f>
        <v>-24.595902599070456</v>
      </c>
      <c r="F4" s="30">
        <f t="shared" ref="F4:F24" si="3">10^B4</f>
        <v>5.0859143469241822E-20</v>
      </c>
      <c r="G4" s="11">
        <v>8.98856624319418</v>
      </c>
      <c r="H4" s="19">
        <f t="shared" ref="H4:H26" si="4">G4/10</f>
        <v>0.89885662431941804</v>
      </c>
      <c r="I4" s="9">
        <v>-22.3263157894736</v>
      </c>
      <c r="J4" s="9">
        <f t="shared" ref="J4:J26" si="5">10000/G4</f>
        <v>1112.5244815958988</v>
      </c>
      <c r="K4" s="35">
        <f t="shared" ref="K4:K26" si="6">63.05/J4</f>
        <v>5.66729101633393E-2</v>
      </c>
      <c r="L4" s="19">
        <f t="shared" ref="L4:L26" si="7">J4-273</f>
        <v>839.52448159589881</v>
      </c>
      <c r="M4" s="19"/>
      <c r="N4" s="9">
        <f t="shared" ref="N4:N26" si="8">EXP(I4)</f>
        <v>2.0128168128736312E-10</v>
      </c>
      <c r="O4" s="37">
        <f t="shared" ref="O4:O26" si="9">N4*(100^2)</f>
        <v>2.0128168128736311E-6</v>
      </c>
      <c r="P4" s="52">
        <v>2.8026335236815498</v>
      </c>
      <c r="Q4" s="9">
        <v>3.1442721867757299</v>
      </c>
      <c r="R4" s="9">
        <f t="shared" ref="R4:R19" si="10">1000/P4</f>
        <v>356.80726415003994</v>
      </c>
      <c r="S4" s="16">
        <f t="shared" ref="S4:S19" si="11">14.01/R4</f>
        <v>3.9264895666778515E-2</v>
      </c>
      <c r="T4" s="19">
        <f t="shared" ref="T4:T19" si="12">R4-273</f>
        <v>83.807264150039941</v>
      </c>
      <c r="U4" s="21">
        <f t="shared" ref="U4:U19" si="13">Q4*(10^-5)</f>
        <v>3.1442721867757303E-5</v>
      </c>
    </row>
    <row r="5" spans="1:21" x14ac:dyDescent="0.3">
      <c r="A5" s="52">
        <v>3.8843978245137598</v>
      </c>
      <c r="B5" s="9">
        <v>-18.698580263953001</v>
      </c>
      <c r="C5" s="19">
        <f t="shared" si="0"/>
        <v>257.44016065738009</v>
      </c>
      <c r="D5" s="75">
        <f t="shared" si="1"/>
        <v>15.207417482971369</v>
      </c>
      <c r="E5" s="19">
        <f t="shared" si="2"/>
        <v>-15.55983934261991</v>
      </c>
      <c r="F5" s="30">
        <f t="shared" si="3"/>
        <v>2.0017956263785208E-19</v>
      </c>
      <c r="G5" s="11">
        <v>9.8411978221415506</v>
      </c>
      <c r="H5" s="19">
        <f t="shared" si="4"/>
        <v>0.98411978221415508</v>
      </c>
      <c r="I5" s="9">
        <v>-23.421052631578899</v>
      </c>
      <c r="J5" s="9">
        <f t="shared" si="5"/>
        <v>1016.1364684186271</v>
      </c>
      <c r="K5" s="35">
        <f t="shared" si="6"/>
        <v>6.2048752268602472E-2</v>
      </c>
      <c r="L5" s="19">
        <f t="shared" si="7"/>
        <v>743.13646841862715</v>
      </c>
      <c r="M5" s="19"/>
      <c r="N5" s="9">
        <f t="shared" si="8"/>
        <v>6.7354417058409216E-11</v>
      </c>
      <c r="O5" s="37">
        <f t="shared" si="9"/>
        <v>6.7354417058409213E-7</v>
      </c>
      <c r="P5" s="52">
        <v>2.8347866980181302</v>
      </c>
      <c r="Q5" s="9">
        <v>2.67496378426224</v>
      </c>
      <c r="R5" s="9">
        <f t="shared" si="10"/>
        <v>352.76022732120367</v>
      </c>
      <c r="S5" s="16">
        <f t="shared" si="11"/>
        <v>3.9715361639234004E-2</v>
      </c>
      <c r="T5" s="19">
        <f t="shared" si="12"/>
        <v>79.760227321203672</v>
      </c>
      <c r="U5" s="21">
        <f t="shared" si="13"/>
        <v>2.6749637842622403E-5</v>
      </c>
    </row>
    <row r="6" spans="1:21" x14ac:dyDescent="0.3">
      <c r="A6" s="52">
        <v>3.7931079760368198</v>
      </c>
      <c r="B6" s="9">
        <v>-18.3815083669678</v>
      </c>
      <c r="C6" s="19">
        <f t="shared" si="0"/>
        <v>263.63604893864294</v>
      </c>
      <c r="D6" s="75">
        <f t="shared" si="1"/>
        <v>14.85001772618415</v>
      </c>
      <c r="E6" s="19">
        <f t="shared" si="2"/>
        <v>-9.3639510613570565</v>
      </c>
      <c r="F6" s="30">
        <f t="shared" si="3"/>
        <v>4.1542404774824245E-19</v>
      </c>
      <c r="G6" s="11">
        <v>11.552268602540799</v>
      </c>
      <c r="H6" s="19">
        <f t="shared" si="4"/>
        <v>1.1552268602540798</v>
      </c>
      <c r="I6" s="9">
        <v>-24.9368421052631</v>
      </c>
      <c r="J6" s="9">
        <f t="shared" si="5"/>
        <v>865.63084222267878</v>
      </c>
      <c r="K6" s="35">
        <f t="shared" si="6"/>
        <v>7.283705353901973E-2</v>
      </c>
      <c r="L6" s="19">
        <f t="shared" si="7"/>
        <v>592.63084222267878</v>
      </c>
      <c r="M6" s="19"/>
      <c r="N6" s="9">
        <f t="shared" si="8"/>
        <v>1.4793368568567264E-11</v>
      </c>
      <c r="O6" s="37">
        <f t="shared" si="9"/>
        <v>1.4793368568567264E-7</v>
      </c>
      <c r="P6" s="52">
        <v>2.8747799798454801</v>
      </c>
      <c r="Q6" s="9">
        <v>2.65622974568605</v>
      </c>
      <c r="R6" s="9">
        <f t="shared" si="10"/>
        <v>347.852707689216</v>
      </c>
      <c r="S6" s="16">
        <f t="shared" si="11"/>
        <v>4.0275667517635172E-2</v>
      </c>
      <c r="T6" s="19">
        <f t="shared" si="12"/>
        <v>74.852707689216004</v>
      </c>
      <c r="U6" s="21">
        <f t="shared" si="13"/>
        <v>2.6562297456860501E-5</v>
      </c>
    </row>
    <row r="7" spans="1:21" x14ac:dyDescent="0.3">
      <c r="A7" s="52">
        <v>3.67677168585262</v>
      </c>
      <c r="B7" s="9">
        <v>-17.905527495728801</v>
      </c>
      <c r="C7" s="19">
        <f t="shared" si="0"/>
        <v>271.97772541813578</v>
      </c>
      <c r="D7" s="75">
        <f t="shared" si="1"/>
        <v>14.394561150113006</v>
      </c>
      <c r="E7" s="19">
        <f t="shared" si="2"/>
        <v>-1.0222745818642238</v>
      </c>
      <c r="F7" s="30">
        <f t="shared" si="3"/>
        <v>1.2430039372138287E-18</v>
      </c>
      <c r="G7" s="11">
        <v>13.007622504537199</v>
      </c>
      <c r="H7" s="19">
        <f t="shared" si="4"/>
        <v>1.30076225045372</v>
      </c>
      <c r="I7" s="9">
        <v>-26.115789473684199</v>
      </c>
      <c r="J7" s="9">
        <f t="shared" si="5"/>
        <v>768.77999776760839</v>
      </c>
      <c r="K7" s="35">
        <f t="shared" si="6"/>
        <v>8.2013059891107035E-2</v>
      </c>
      <c r="L7" s="19">
        <f t="shared" si="7"/>
        <v>495.77999776760839</v>
      </c>
      <c r="M7" s="19"/>
      <c r="N7" s="9">
        <f t="shared" si="8"/>
        <v>4.5504750870320967E-12</v>
      </c>
      <c r="O7" s="37">
        <f t="shared" si="9"/>
        <v>4.5504750870320969E-8</v>
      </c>
      <c r="P7" s="52">
        <v>2.9161639234128298</v>
      </c>
      <c r="Q7" s="9">
        <v>2.25976567877108</v>
      </c>
      <c r="R7" s="9">
        <f t="shared" si="10"/>
        <v>342.91625102805784</v>
      </c>
      <c r="S7" s="16">
        <f t="shared" si="11"/>
        <v>4.0855456567013747E-2</v>
      </c>
      <c r="T7" s="19">
        <f t="shared" si="12"/>
        <v>69.916251028057843</v>
      </c>
      <c r="U7" s="21">
        <f t="shared" si="13"/>
        <v>2.2597656787710803E-5</v>
      </c>
    </row>
    <row r="8" spans="1:21" x14ac:dyDescent="0.3">
      <c r="A8" s="52">
        <v>3.3690418460298801</v>
      </c>
      <c r="B8" s="9">
        <v>-16.516677981781399</v>
      </c>
      <c r="C8" s="19">
        <f t="shared" si="0"/>
        <v>296.82029660106838</v>
      </c>
      <c r="D8" s="75">
        <f t="shared" si="1"/>
        <v>13.189798827206982</v>
      </c>
      <c r="E8" s="19">
        <f t="shared" si="2"/>
        <v>23.820296601068378</v>
      </c>
      <c r="F8" s="30">
        <f t="shared" si="3"/>
        <v>3.0431406000455089E-17</v>
      </c>
      <c r="G8" s="11">
        <v>13.949364791288501</v>
      </c>
      <c r="H8" s="19">
        <f t="shared" si="4"/>
        <v>1.3949364791288501</v>
      </c>
      <c r="I8" s="9">
        <v>-26.873684210526299</v>
      </c>
      <c r="J8" s="9">
        <f t="shared" si="5"/>
        <v>716.87852096642325</v>
      </c>
      <c r="K8" s="35">
        <f t="shared" si="6"/>
        <v>8.7950745009073988E-2</v>
      </c>
      <c r="L8" s="19">
        <f t="shared" si="7"/>
        <v>443.87852096642325</v>
      </c>
      <c r="M8" s="19"/>
      <c r="N8" s="9">
        <f t="shared" si="8"/>
        <v>2.132589364324455E-12</v>
      </c>
      <c r="O8" s="37">
        <f t="shared" si="9"/>
        <v>2.132589364324455E-8</v>
      </c>
      <c r="P8" s="52">
        <v>2.9868055089015701</v>
      </c>
      <c r="Q8" s="9">
        <v>1.9772895169062901</v>
      </c>
      <c r="R8" s="9">
        <f t="shared" si="10"/>
        <v>334.80586433221117</v>
      </c>
      <c r="S8" s="16">
        <f t="shared" si="11"/>
        <v>4.1845145179710996E-2</v>
      </c>
      <c r="T8" s="19">
        <f t="shared" si="12"/>
        <v>61.805864332211172</v>
      </c>
      <c r="U8" s="21">
        <f t="shared" si="13"/>
        <v>1.9772895169062902E-5</v>
      </c>
    </row>
    <row r="9" spans="1:21" x14ac:dyDescent="0.3">
      <c r="A9" s="52">
        <v>3.31878483128044</v>
      </c>
      <c r="B9" s="9">
        <v>-16.1191817306903</v>
      </c>
      <c r="C9" s="19">
        <f t="shared" si="0"/>
        <v>301.31510502721687</v>
      </c>
      <c r="D9" s="75">
        <f t="shared" si="1"/>
        <v>12.993042614462922</v>
      </c>
      <c r="E9" s="19">
        <f t="shared" si="2"/>
        <v>28.315105027216873</v>
      </c>
      <c r="F9" s="30">
        <f t="shared" si="3"/>
        <v>7.600081846794201E-17</v>
      </c>
      <c r="G9" s="11">
        <v>14.892558983666</v>
      </c>
      <c r="H9" s="19">
        <f t="shared" si="4"/>
        <v>1.4892558983666</v>
      </c>
      <c r="I9" s="9">
        <v>-27.463157894736799</v>
      </c>
      <c r="J9" s="9">
        <f t="shared" si="5"/>
        <v>671.47627288016076</v>
      </c>
      <c r="K9" s="35">
        <f t="shared" si="6"/>
        <v>9.3897584392014122E-2</v>
      </c>
      <c r="L9" s="19">
        <f t="shared" si="7"/>
        <v>398.47627288016076</v>
      </c>
      <c r="M9" s="19"/>
      <c r="N9" s="9">
        <f t="shared" si="8"/>
        <v>1.1827748210529162E-12</v>
      </c>
      <c r="O9" s="37">
        <f t="shared" si="9"/>
        <v>1.1827748210529163E-8</v>
      </c>
      <c r="P9" s="52">
        <v>3.0791064830366102</v>
      </c>
      <c r="Q9" s="9">
        <v>1.96344162172956</v>
      </c>
      <c r="R9" s="9">
        <f t="shared" si="10"/>
        <v>324.76954126438704</v>
      </c>
      <c r="S9" s="16">
        <f t="shared" si="11"/>
        <v>4.3138281827342903E-2</v>
      </c>
      <c r="T9" s="19">
        <f t="shared" si="12"/>
        <v>51.769541264387044</v>
      </c>
      <c r="U9" s="21">
        <f t="shared" si="13"/>
        <v>1.9634416217295603E-5</v>
      </c>
    </row>
    <row r="10" spans="1:21" x14ac:dyDescent="0.3">
      <c r="A10" s="52">
        <v>3.2438917031610202</v>
      </c>
      <c r="B10" s="9">
        <v>-15.7619722618044</v>
      </c>
      <c r="C10" s="19">
        <f t="shared" si="0"/>
        <v>308.27169693289915</v>
      </c>
      <c r="D10" s="75">
        <f t="shared" si="1"/>
        <v>12.699836017875393</v>
      </c>
      <c r="E10" s="19">
        <f t="shared" si="2"/>
        <v>35.271696932899147</v>
      </c>
      <c r="F10" s="30">
        <f t="shared" si="3"/>
        <v>1.7299268453457001E-16</v>
      </c>
      <c r="G10" s="11">
        <v>16.6833030852994</v>
      </c>
      <c r="H10" s="19">
        <f t="shared" si="4"/>
        <v>1.6683303085299399</v>
      </c>
      <c r="I10" s="9">
        <v>-29.736842105263101</v>
      </c>
      <c r="J10" s="9">
        <f t="shared" si="5"/>
        <v>599.4016861571954</v>
      </c>
      <c r="K10" s="35">
        <f t="shared" si="6"/>
        <v>0.1051882259528127</v>
      </c>
      <c r="L10" s="19">
        <f t="shared" si="7"/>
        <v>326.4016861571954</v>
      </c>
      <c r="M10" s="19"/>
      <c r="N10" s="9">
        <f t="shared" si="8"/>
        <v>1.2174568132223201E-13</v>
      </c>
      <c r="O10" s="37">
        <f t="shared" si="9"/>
        <v>1.21745681322232E-9</v>
      </c>
      <c r="P10" s="52">
        <v>3.0790124286194098</v>
      </c>
      <c r="Q10" s="9">
        <v>1.7794516920711001</v>
      </c>
      <c r="R10" s="9">
        <f t="shared" si="10"/>
        <v>324.77946198105712</v>
      </c>
      <c r="S10" s="16">
        <f t="shared" si="11"/>
        <v>4.3136964124957933E-2</v>
      </c>
      <c r="T10" s="19">
        <f t="shared" si="12"/>
        <v>51.779461981057125</v>
      </c>
      <c r="U10" s="21">
        <f t="shared" si="13"/>
        <v>1.7794516920711001E-5</v>
      </c>
    </row>
    <row r="11" spans="1:21" x14ac:dyDescent="0.3">
      <c r="A11" s="52">
        <v>3.2023664754287902</v>
      </c>
      <c r="B11" s="9">
        <v>-15.6033617081595</v>
      </c>
      <c r="C11" s="19">
        <f t="shared" si="0"/>
        <v>312.26906966233531</v>
      </c>
      <c r="D11" s="75">
        <f t="shared" si="1"/>
        <v>12.537264751303713</v>
      </c>
      <c r="E11" s="19">
        <f t="shared" si="2"/>
        <v>39.269069662335312</v>
      </c>
      <c r="F11" s="30">
        <f t="shared" si="3"/>
        <v>2.4925179342218927E-16</v>
      </c>
      <c r="G11" s="11">
        <v>21.294918330308501</v>
      </c>
      <c r="H11" s="19">
        <f t="shared" si="4"/>
        <v>2.1294918330308503</v>
      </c>
      <c r="I11" s="9">
        <v>-34.789473684210499</v>
      </c>
      <c r="J11" s="9">
        <f t="shared" si="5"/>
        <v>469.59560233519471</v>
      </c>
      <c r="K11" s="35">
        <f t="shared" si="6"/>
        <v>0.1342644600725951</v>
      </c>
      <c r="L11" s="19">
        <f t="shared" si="7"/>
        <v>196.59560233519471</v>
      </c>
      <c r="M11" s="19"/>
      <c r="N11" s="9">
        <f t="shared" si="8"/>
        <v>7.7825792290597033E-16</v>
      </c>
      <c r="O11" s="37">
        <f t="shared" si="9"/>
        <v>7.7825792290597036E-12</v>
      </c>
      <c r="P11" s="52">
        <v>3.17746724890829</v>
      </c>
      <c r="Q11" s="9">
        <v>1.7669893489022499</v>
      </c>
      <c r="R11" s="9">
        <f t="shared" si="10"/>
        <v>314.71606838546603</v>
      </c>
      <c r="S11" s="16">
        <f t="shared" si="11"/>
        <v>4.4516316157205145E-2</v>
      </c>
      <c r="T11" s="19">
        <f t="shared" si="12"/>
        <v>41.716068385466031</v>
      </c>
      <c r="U11" s="21">
        <f t="shared" si="13"/>
        <v>1.7669893489022501E-5</v>
      </c>
    </row>
    <row r="12" spans="1:21" x14ac:dyDescent="0.3">
      <c r="A12" s="52">
        <v>3.16092331336402</v>
      </c>
      <c r="B12" s="9">
        <v>-15.484590305806501</v>
      </c>
      <c r="C12" s="19">
        <f t="shared" si="0"/>
        <v>316.36325872637121</v>
      </c>
      <c r="D12" s="75">
        <f t="shared" si="1"/>
        <v>12.375014771820139</v>
      </c>
      <c r="E12" s="19">
        <f t="shared" si="2"/>
        <v>43.363258726371214</v>
      </c>
      <c r="F12" s="30">
        <f t="shared" si="3"/>
        <v>3.2764963930248655E-16</v>
      </c>
      <c r="G12" s="11">
        <v>23.097277676950899</v>
      </c>
      <c r="H12" s="19">
        <f t="shared" si="4"/>
        <v>2.3097277676950898</v>
      </c>
      <c r="I12" s="9">
        <v>-35.715789473684197</v>
      </c>
      <c r="J12" s="9">
        <f t="shared" si="5"/>
        <v>432.9514560055336</v>
      </c>
      <c r="K12" s="35">
        <f t="shared" si="6"/>
        <v>0.14562833575317541</v>
      </c>
      <c r="L12" s="19">
        <f t="shared" si="7"/>
        <v>159.9514560055336</v>
      </c>
      <c r="M12" s="19"/>
      <c r="N12" s="9">
        <f t="shared" si="8"/>
        <v>3.0819792807779287E-16</v>
      </c>
      <c r="O12" s="37">
        <f t="shared" si="9"/>
        <v>3.0819792807779286E-12</v>
      </c>
      <c r="P12" s="52">
        <v>3.1789049378568999</v>
      </c>
      <c r="Q12" s="9">
        <v>1.5901931203758699</v>
      </c>
      <c r="R12" s="9">
        <f t="shared" si="10"/>
        <v>314.57373515364162</v>
      </c>
      <c r="S12" s="16">
        <f t="shared" si="11"/>
        <v>4.4536458179375168E-2</v>
      </c>
      <c r="T12" s="19">
        <f t="shared" si="12"/>
        <v>41.573735153641621</v>
      </c>
      <c r="U12" s="21">
        <f t="shared" si="13"/>
        <v>1.5901931203758701E-5</v>
      </c>
    </row>
    <row r="13" spans="1:21" x14ac:dyDescent="0.3">
      <c r="A13" s="52">
        <v>3.1192339542968801</v>
      </c>
      <c r="B13" s="9">
        <v>-15.2463014495781</v>
      </c>
      <c r="C13" s="19">
        <f t="shared" si="0"/>
        <v>320.59153454086271</v>
      </c>
      <c r="D13" s="75">
        <f t="shared" si="1"/>
        <v>12.211800931072286</v>
      </c>
      <c r="E13" s="19">
        <f t="shared" si="2"/>
        <v>47.59153454086271</v>
      </c>
      <c r="F13" s="30">
        <f t="shared" si="3"/>
        <v>5.6715080183481228E-16</v>
      </c>
      <c r="G13" s="11">
        <v>23.695644283121499</v>
      </c>
      <c r="H13" s="19">
        <f t="shared" si="4"/>
        <v>2.3695644283121498</v>
      </c>
      <c r="I13" s="9">
        <v>-36.3052631578947</v>
      </c>
      <c r="J13" s="9">
        <f t="shared" si="5"/>
        <v>422.01848915849229</v>
      </c>
      <c r="K13" s="35">
        <f t="shared" si="6"/>
        <v>0.14940103720508105</v>
      </c>
      <c r="L13" s="19">
        <f t="shared" si="7"/>
        <v>149.01848915849229</v>
      </c>
      <c r="M13" s="19"/>
      <c r="N13" s="9">
        <f t="shared" si="8"/>
        <v>1.7093246141484077E-16</v>
      </c>
      <c r="O13" s="37">
        <f t="shared" si="9"/>
        <v>1.7093246141484077E-12</v>
      </c>
      <c r="P13" s="52">
        <v>3.2388041652670401</v>
      </c>
      <c r="Q13" s="9">
        <v>1.43108624942291</v>
      </c>
      <c r="R13" s="9">
        <f t="shared" si="10"/>
        <v>308.7559324283967</v>
      </c>
      <c r="S13" s="16">
        <f t="shared" si="11"/>
        <v>4.5375646355391229E-2</v>
      </c>
      <c r="T13" s="19">
        <f t="shared" si="12"/>
        <v>35.755932428396704</v>
      </c>
      <c r="U13" s="21">
        <f t="shared" si="13"/>
        <v>1.4310862494229101E-5</v>
      </c>
    </row>
    <row r="14" spans="1:21" x14ac:dyDescent="0.3">
      <c r="A14" s="52">
        <v>2.7202142659972099</v>
      </c>
      <c r="B14" s="9">
        <v>-13.540380038645401</v>
      </c>
      <c r="C14" s="19">
        <f t="shared" si="0"/>
        <v>367.6180999783881</v>
      </c>
      <c r="D14" s="75">
        <f t="shared" si="1"/>
        <v>10.649638851379077</v>
      </c>
      <c r="E14" s="19">
        <f t="shared" si="2"/>
        <v>94.618099978388102</v>
      </c>
      <c r="F14" s="30">
        <f t="shared" si="3"/>
        <v>2.8815088737744856E-14</v>
      </c>
      <c r="G14" s="11">
        <v>27.111978221415601</v>
      </c>
      <c r="H14" s="19">
        <f t="shared" si="4"/>
        <v>2.71119782214156</v>
      </c>
      <c r="I14" s="9">
        <v>-40.010526315789399</v>
      </c>
      <c r="J14" s="9">
        <f t="shared" si="5"/>
        <v>368.84066217274602</v>
      </c>
      <c r="K14" s="35">
        <f t="shared" si="6"/>
        <v>0.17094102268602537</v>
      </c>
      <c r="L14" s="19">
        <f t="shared" si="7"/>
        <v>95.840662172746022</v>
      </c>
      <c r="M14" s="19"/>
      <c r="N14" s="9">
        <f t="shared" si="8"/>
        <v>4.2038692790253632E-18</v>
      </c>
      <c r="O14" s="37">
        <f t="shared" si="9"/>
        <v>4.2038692790253635E-14</v>
      </c>
      <c r="P14" s="52">
        <v>3.2663621095062099</v>
      </c>
      <c r="Q14" s="9">
        <v>1.2434272866423399</v>
      </c>
      <c r="R14" s="9">
        <f t="shared" si="10"/>
        <v>306.15099198269058</v>
      </c>
      <c r="S14" s="16">
        <f t="shared" si="11"/>
        <v>4.5761733154181999E-2</v>
      </c>
      <c r="T14" s="19">
        <f t="shared" si="12"/>
        <v>33.150991982690584</v>
      </c>
      <c r="U14" s="21">
        <f t="shared" si="13"/>
        <v>1.2434272866423401E-5</v>
      </c>
    </row>
    <row r="15" spans="1:21" x14ac:dyDescent="0.3">
      <c r="A15" s="52">
        <v>2.50410253732122</v>
      </c>
      <c r="B15" s="9">
        <v>-12.6279590268503</v>
      </c>
      <c r="C15" s="19">
        <f t="shared" si="0"/>
        <v>399.34466943584368</v>
      </c>
      <c r="D15" s="75">
        <f t="shared" si="1"/>
        <v>9.8035614336125754</v>
      </c>
      <c r="E15" s="19">
        <f t="shared" si="2"/>
        <v>126.34466943584368</v>
      </c>
      <c r="F15" s="30">
        <f t="shared" si="3"/>
        <v>2.3552714795324545E-13</v>
      </c>
      <c r="G15" s="11">
        <v>28.139201451905599</v>
      </c>
      <c r="H15" s="19">
        <f t="shared" si="4"/>
        <v>2.81392014519056</v>
      </c>
      <c r="I15" s="9">
        <v>-40.852631578947303</v>
      </c>
      <c r="J15" s="9">
        <f t="shared" si="5"/>
        <v>355.37611175966032</v>
      </c>
      <c r="K15" s="35">
        <f t="shared" si="6"/>
        <v>0.1774176651542648</v>
      </c>
      <c r="L15" s="19">
        <f t="shared" si="7"/>
        <v>82.376111759660319</v>
      </c>
      <c r="M15" s="19"/>
      <c r="N15" s="9">
        <f t="shared" si="8"/>
        <v>1.8110378793522654E-18</v>
      </c>
      <c r="O15" s="37">
        <f t="shared" si="9"/>
        <v>1.8110378793522653E-14</v>
      </c>
      <c r="P15" s="52">
        <v>3.31566006046355</v>
      </c>
      <c r="Q15" s="9">
        <v>1.3339609035017099</v>
      </c>
      <c r="R15" s="9">
        <f t="shared" si="10"/>
        <v>301.59907281333108</v>
      </c>
      <c r="S15" s="16">
        <f t="shared" si="11"/>
        <v>4.645239744709434E-2</v>
      </c>
      <c r="T15" s="19">
        <f t="shared" si="12"/>
        <v>28.599072813331077</v>
      </c>
      <c r="U15" s="21">
        <f t="shared" si="13"/>
        <v>1.3339609035017101E-5</v>
      </c>
    </row>
    <row r="16" spans="1:21" x14ac:dyDescent="0.3">
      <c r="A16" s="52">
        <v>2.3463230850722501</v>
      </c>
      <c r="B16" s="9">
        <v>-12.0332067532583</v>
      </c>
      <c r="C16" s="19">
        <f t="shared" si="0"/>
        <v>426.19876451039016</v>
      </c>
      <c r="D16" s="75">
        <f t="shared" si="1"/>
        <v>9.1858548780578584</v>
      </c>
      <c r="E16" s="19">
        <f t="shared" si="2"/>
        <v>153.19876451039016</v>
      </c>
      <c r="F16" s="30">
        <f t="shared" si="3"/>
        <v>9.2638869532475005E-13</v>
      </c>
      <c r="G16" s="11">
        <v>30.191470054446398</v>
      </c>
      <c r="H16" s="19">
        <f t="shared" si="4"/>
        <v>3.0191470054446397</v>
      </c>
      <c r="I16" s="9">
        <v>-42.789473684210499</v>
      </c>
      <c r="J16" s="9">
        <f t="shared" si="5"/>
        <v>331.21938024105145</v>
      </c>
      <c r="K16" s="35">
        <f t="shared" si="6"/>
        <v>0.19035721869328454</v>
      </c>
      <c r="L16" s="19">
        <f t="shared" si="7"/>
        <v>58.219380241051454</v>
      </c>
      <c r="M16" s="19"/>
      <c r="N16" s="9">
        <f t="shared" si="8"/>
        <v>2.6107644800398729E-19</v>
      </c>
      <c r="O16" s="37">
        <f t="shared" si="9"/>
        <v>2.6107644800398728E-15</v>
      </c>
      <c r="P16" s="52">
        <v>3.3540476990258599</v>
      </c>
      <c r="Q16" s="9">
        <v>1.23471897631242</v>
      </c>
      <c r="R16" s="9">
        <f t="shared" si="10"/>
        <v>298.1472208312473</v>
      </c>
      <c r="S16" s="16">
        <f t="shared" si="11"/>
        <v>4.6990208263352304E-2</v>
      </c>
      <c r="T16" s="19">
        <f t="shared" si="12"/>
        <v>25.147220831247296</v>
      </c>
      <c r="U16" s="21">
        <f t="shared" si="13"/>
        <v>1.2347189763124201E-5</v>
      </c>
    </row>
    <row r="17" spans="1:21" x14ac:dyDescent="0.3">
      <c r="A17" s="52">
        <v>2.0886861286640399</v>
      </c>
      <c r="B17" s="9">
        <v>-10.962175187818399</v>
      </c>
      <c r="C17" s="19">
        <f t="shared" si="0"/>
        <v>478.76987656331949</v>
      </c>
      <c r="D17" s="75">
        <f t="shared" si="1"/>
        <v>8.1772061937197158</v>
      </c>
      <c r="E17" s="19">
        <f t="shared" si="2"/>
        <v>205.76987656331949</v>
      </c>
      <c r="F17" s="30">
        <f t="shared" si="3"/>
        <v>1.0910001547296868E-11</v>
      </c>
      <c r="G17" s="11">
        <v>31.135390199637001</v>
      </c>
      <c r="H17" s="19">
        <f t="shared" si="4"/>
        <v>3.1135390199637003</v>
      </c>
      <c r="I17" s="9">
        <v>-43.294736842105202</v>
      </c>
      <c r="J17" s="9">
        <f t="shared" si="5"/>
        <v>321.17792440952246</v>
      </c>
      <c r="K17" s="35">
        <f t="shared" si="6"/>
        <v>0.19630863520871131</v>
      </c>
      <c r="L17" s="19">
        <f t="shared" si="7"/>
        <v>48.177924409522461</v>
      </c>
      <c r="M17" s="19"/>
      <c r="N17" s="9">
        <f t="shared" si="8"/>
        <v>1.5751963399307875E-19</v>
      </c>
      <c r="O17" s="37">
        <f t="shared" si="9"/>
        <v>1.5751963399307874E-15</v>
      </c>
      <c r="P17" s="52">
        <v>3.3939737991266301</v>
      </c>
      <c r="Q17" s="9">
        <v>1.1428602940791099</v>
      </c>
      <c r="R17" s="9">
        <f t="shared" si="10"/>
        <v>294.63987030699224</v>
      </c>
      <c r="S17" s="16">
        <f t="shared" si="11"/>
        <v>4.7549572925764089E-2</v>
      </c>
      <c r="T17" s="19">
        <f t="shared" si="12"/>
        <v>21.639870306992236</v>
      </c>
      <c r="U17" s="21">
        <f t="shared" si="13"/>
        <v>1.14286029407911E-5</v>
      </c>
    </row>
    <row r="18" spans="1:21" x14ac:dyDescent="0.3">
      <c r="A18" s="52">
        <v>1.2485470646602801</v>
      </c>
      <c r="B18" s="9">
        <v>-7.1128477532658403</v>
      </c>
      <c r="C18" s="19">
        <f t="shared" si="0"/>
        <v>800.93096071800244</v>
      </c>
      <c r="D18" s="75">
        <f t="shared" si="1"/>
        <v>4.8880617581449961</v>
      </c>
      <c r="E18" s="19">
        <f t="shared" si="2"/>
        <v>527.93096071800244</v>
      </c>
      <c r="F18" s="30">
        <f t="shared" si="3"/>
        <v>7.7117376517698983E-8</v>
      </c>
      <c r="G18" s="11">
        <v>31.734482758620601</v>
      </c>
      <c r="H18" s="19">
        <f t="shared" si="4"/>
        <v>3.1734482758620599</v>
      </c>
      <c r="I18" s="9">
        <v>-43.8</v>
      </c>
      <c r="J18" s="9">
        <f t="shared" si="5"/>
        <v>315.1146365315667</v>
      </c>
      <c r="K18" s="35">
        <f t="shared" si="6"/>
        <v>0.20008591379310287</v>
      </c>
      <c r="L18" s="19">
        <f t="shared" si="7"/>
        <v>42.114636531566703</v>
      </c>
      <c r="M18" s="19"/>
      <c r="N18" s="9">
        <f t="shared" si="8"/>
        <v>9.50389638092987E-20</v>
      </c>
      <c r="O18" s="37">
        <f t="shared" si="9"/>
        <v>9.5038963809298705E-16</v>
      </c>
      <c r="P18" s="52">
        <v>3.52153846153846</v>
      </c>
      <c r="Q18" s="9">
        <v>1</v>
      </c>
      <c r="R18" s="9">
        <f t="shared" si="10"/>
        <v>283.96679772826576</v>
      </c>
      <c r="S18" s="16">
        <f t="shared" si="11"/>
        <v>4.9336753846153818E-2</v>
      </c>
      <c r="T18" s="19">
        <f t="shared" si="12"/>
        <v>10.96679772826576</v>
      </c>
      <c r="U18" s="21">
        <f t="shared" si="13"/>
        <v>1.0000000000000001E-5</v>
      </c>
    </row>
    <row r="19" spans="1:21" x14ac:dyDescent="0.3">
      <c r="A19" s="52">
        <v>1.1240534471310499</v>
      </c>
      <c r="B19" s="9">
        <v>-6.6768552436231197</v>
      </c>
      <c r="C19" s="19">
        <f t="shared" si="0"/>
        <v>889.63741230661697</v>
      </c>
      <c r="D19" s="75">
        <f t="shared" si="1"/>
        <v>4.4006692455180607</v>
      </c>
      <c r="E19" s="19">
        <f t="shared" si="2"/>
        <v>616.63741230661697</v>
      </c>
      <c r="F19" s="30">
        <f t="shared" si="3"/>
        <v>2.1044797751873878E-7</v>
      </c>
      <c r="G19" s="11">
        <v>32.5023593466424</v>
      </c>
      <c r="H19" s="19">
        <f t="shared" si="4"/>
        <v>3.2502359346642402</v>
      </c>
      <c r="I19" s="9">
        <v>-44.726315789473603</v>
      </c>
      <c r="J19" s="9">
        <f t="shared" si="5"/>
        <v>307.66997230411931</v>
      </c>
      <c r="K19" s="35">
        <f t="shared" si="6"/>
        <v>0.20492737568058031</v>
      </c>
      <c r="L19" s="19">
        <f t="shared" si="7"/>
        <v>34.669972304119312</v>
      </c>
      <c r="M19" s="19"/>
      <c r="N19" s="9">
        <f t="shared" si="8"/>
        <v>3.7636381038459202E-20</v>
      </c>
      <c r="O19" s="37">
        <f t="shared" si="9"/>
        <v>3.76363810384592E-16</v>
      </c>
      <c r="P19" s="52">
        <v>3.5320927107826599</v>
      </c>
      <c r="Q19" s="9">
        <v>0.79859637708067599</v>
      </c>
      <c r="R19" s="9">
        <f t="shared" si="10"/>
        <v>283.11827629757056</v>
      </c>
      <c r="S19" s="16">
        <f t="shared" si="11"/>
        <v>4.9484618878065059E-2</v>
      </c>
      <c r="T19" s="19">
        <f t="shared" si="12"/>
        <v>10.11827629757056</v>
      </c>
      <c r="U19" s="21">
        <f t="shared" si="13"/>
        <v>7.9859637708067599E-6</v>
      </c>
    </row>
    <row r="20" spans="1:21" x14ac:dyDescent="0.3">
      <c r="A20" s="52">
        <v>1.03292772998903</v>
      </c>
      <c r="B20" s="9">
        <v>-6.4394616492214896</v>
      </c>
      <c r="C20" s="19">
        <f t="shared" si="0"/>
        <v>968.12194209426468</v>
      </c>
      <c r="D20" s="75">
        <f t="shared" si="1"/>
        <v>4.0439120629070526</v>
      </c>
      <c r="E20" s="19">
        <f t="shared" si="2"/>
        <v>695.12194209426468</v>
      </c>
      <c r="F20" s="30">
        <f t="shared" si="3"/>
        <v>3.6352840484293596E-7</v>
      </c>
      <c r="G20" s="11">
        <v>33.788929219600703</v>
      </c>
      <c r="H20" s="19">
        <f t="shared" si="4"/>
        <v>3.3788929219600705</v>
      </c>
      <c r="I20" s="9">
        <v>-45.484210526315699</v>
      </c>
      <c r="J20" s="9">
        <f t="shared" si="5"/>
        <v>295.95492461474851</v>
      </c>
      <c r="K20" s="35">
        <f t="shared" si="6"/>
        <v>0.21303919872958244</v>
      </c>
      <c r="L20" s="19">
        <f t="shared" si="7"/>
        <v>22.954924614748506</v>
      </c>
      <c r="M20" s="19"/>
      <c r="N20" s="9">
        <f t="shared" si="8"/>
        <v>1.7638366187964329E-20</v>
      </c>
      <c r="O20" s="37">
        <f t="shared" si="9"/>
        <v>1.7638366187964328E-16</v>
      </c>
      <c r="P20" s="52">
        <f>1000/R20</f>
        <v>0.93196644920782856</v>
      </c>
      <c r="Q20" s="9"/>
      <c r="R20" s="19">
        <f>T20+273</f>
        <v>1073</v>
      </c>
      <c r="S20" s="16">
        <f>14.01/R20</f>
        <v>1.3056849953401678E-2</v>
      </c>
      <c r="T20" s="19">
        <v>800</v>
      </c>
      <c r="U20" s="17">
        <v>2.7E-4</v>
      </c>
    </row>
    <row r="21" spans="1:21" x14ac:dyDescent="0.3">
      <c r="A21" s="52">
        <v>1.00788128828176</v>
      </c>
      <c r="B21" s="9">
        <v>-6.2805526749677298</v>
      </c>
      <c r="C21" s="19">
        <f t="shared" si="0"/>
        <v>992.1803407073902</v>
      </c>
      <c r="D21" s="75">
        <f t="shared" si="1"/>
        <v>3.9458552436230905</v>
      </c>
      <c r="E21" s="19">
        <f t="shared" si="2"/>
        <v>719.1803407073902</v>
      </c>
      <c r="F21" s="30">
        <f t="shared" si="3"/>
        <v>5.2414002494555973E-7</v>
      </c>
      <c r="G21" s="11">
        <v>34.296007259528103</v>
      </c>
      <c r="H21" s="19">
        <f t="shared" si="4"/>
        <v>3.4296007259528105</v>
      </c>
      <c r="I21" s="9">
        <v>-46.663157894736798</v>
      </c>
      <c r="J21" s="9">
        <f t="shared" si="5"/>
        <v>291.57913118944202</v>
      </c>
      <c r="K21" s="35">
        <f t="shared" si="6"/>
        <v>0.21623632577132465</v>
      </c>
      <c r="L21" s="19">
        <f t="shared" si="7"/>
        <v>18.579131189442023</v>
      </c>
      <c r="M21" s="19"/>
      <c r="N21" s="9">
        <f t="shared" si="8"/>
        <v>5.4256030695282295E-21</v>
      </c>
      <c r="O21" s="37">
        <f t="shared" si="9"/>
        <v>5.4256030695282292E-17</v>
      </c>
      <c r="P21" s="11"/>
      <c r="Q21" s="9"/>
      <c r="R21" s="9"/>
      <c r="S21" s="9"/>
      <c r="T21" s="9"/>
      <c r="U21" s="13"/>
    </row>
    <row r="22" spans="1:21" x14ac:dyDescent="0.3">
      <c r="A22" s="52">
        <v>0.97443132222711304</v>
      </c>
      <c r="B22" s="9">
        <v>-6.0421146084348498</v>
      </c>
      <c r="C22" s="19">
        <f t="shared" si="0"/>
        <v>1026.2395893786013</v>
      </c>
      <c r="D22" s="75">
        <f t="shared" si="1"/>
        <v>3.8148986265191476</v>
      </c>
      <c r="E22" s="19">
        <f t="shared" si="2"/>
        <v>753.23958937860129</v>
      </c>
      <c r="F22" s="30">
        <f t="shared" si="3"/>
        <v>9.0758099187580112E-7</v>
      </c>
      <c r="G22" s="11">
        <v>35.409437386569799</v>
      </c>
      <c r="H22" s="19">
        <f t="shared" si="4"/>
        <v>3.54094373865698</v>
      </c>
      <c r="I22" s="9">
        <v>-47.505263157894703</v>
      </c>
      <c r="J22" s="9">
        <f t="shared" si="5"/>
        <v>282.41058706549319</v>
      </c>
      <c r="K22" s="35">
        <f t="shared" si="6"/>
        <v>0.22325650272232259</v>
      </c>
      <c r="L22" s="19">
        <f t="shared" si="7"/>
        <v>9.4105870654931891</v>
      </c>
      <c r="M22" s="19"/>
      <c r="N22" s="9">
        <f t="shared" si="8"/>
        <v>2.3373639913759704E-21</v>
      </c>
      <c r="O22" s="37">
        <f t="shared" si="9"/>
        <v>2.3373639913759704E-17</v>
      </c>
      <c r="P22" s="11"/>
      <c r="Q22" s="9"/>
      <c r="R22" s="9"/>
      <c r="S22" s="9"/>
      <c r="T22" s="9"/>
      <c r="U22" s="13"/>
    </row>
    <row r="23" spans="1:21" x14ac:dyDescent="0.3">
      <c r="A23" s="52">
        <v>0.94130961884227804</v>
      </c>
      <c r="B23" s="9">
        <v>-5.9630331470691296</v>
      </c>
      <c r="C23" s="19">
        <f t="shared" si="0"/>
        <v>1062.3497093654537</v>
      </c>
      <c r="D23" s="75">
        <f t="shared" si="1"/>
        <v>3.6852271577675184</v>
      </c>
      <c r="E23" s="19">
        <f t="shared" si="2"/>
        <v>789.34970936545369</v>
      </c>
      <c r="F23" s="30">
        <f t="shared" si="3"/>
        <v>1.0888469850620415E-6</v>
      </c>
      <c r="G23" s="11">
        <v>38.660617059891102</v>
      </c>
      <c r="H23" s="19">
        <f t="shared" si="4"/>
        <v>3.86606170598911</v>
      </c>
      <c r="I23" s="9">
        <v>-50.368421052631497</v>
      </c>
      <c r="J23" s="9">
        <f t="shared" si="5"/>
        <v>258.66115857665949</v>
      </c>
      <c r="K23" s="35">
        <f t="shared" si="6"/>
        <v>0.24375519056261341</v>
      </c>
      <c r="L23" s="19">
        <f t="shared" si="7"/>
        <v>-14.338841423340511</v>
      </c>
      <c r="M23" s="19"/>
      <c r="N23" s="9">
        <f t="shared" si="8"/>
        <v>1.3343589553081311E-22</v>
      </c>
      <c r="O23" s="37">
        <f t="shared" si="9"/>
        <v>1.3343589553081312E-18</v>
      </c>
      <c r="P23" s="11"/>
      <c r="Q23" s="9"/>
      <c r="R23" s="9"/>
      <c r="S23" s="9"/>
      <c r="T23" s="9"/>
      <c r="U23" s="13"/>
    </row>
    <row r="24" spans="1:21" x14ac:dyDescent="0.3">
      <c r="A24" s="19">
        <v>0.91626317713501404</v>
      </c>
      <c r="B24" s="9">
        <v>-5.8041241728153699</v>
      </c>
      <c r="C24" s="19">
        <f t="shared" si="0"/>
        <v>1091.3894882546906</v>
      </c>
      <c r="D24" s="75">
        <f t="shared" si="1"/>
        <v>3.5871703384835802</v>
      </c>
      <c r="E24" s="19">
        <f t="shared" si="2"/>
        <v>818.3894882546906</v>
      </c>
      <c r="F24" s="30">
        <f t="shared" si="3"/>
        <v>1.5699138727794682E-6</v>
      </c>
      <c r="G24" s="11">
        <v>40.203629764065298</v>
      </c>
      <c r="H24" s="19">
        <f t="shared" si="4"/>
        <v>4.0203629764065294</v>
      </c>
      <c r="I24" s="9">
        <v>-51.378947368421002</v>
      </c>
      <c r="J24" s="9">
        <f t="shared" si="5"/>
        <v>248.73376007800604</v>
      </c>
      <c r="K24" s="35">
        <f t="shared" si="6"/>
        <v>0.25348388566243168</v>
      </c>
      <c r="L24" s="19">
        <f t="shared" si="7"/>
        <v>-24.266239921993957</v>
      </c>
      <c r="M24" s="19"/>
      <c r="N24" s="9">
        <f t="shared" si="8"/>
        <v>4.8574313551333972E-23</v>
      </c>
      <c r="O24" s="37">
        <f t="shared" si="9"/>
        <v>4.8574313551333974E-19</v>
      </c>
      <c r="P24" s="11"/>
      <c r="Q24" s="9"/>
      <c r="R24" s="9"/>
      <c r="S24" s="9"/>
      <c r="T24" s="9"/>
      <c r="U24" s="13"/>
    </row>
    <row r="25" spans="1:21" x14ac:dyDescent="0.3">
      <c r="A25" s="9"/>
      <c r="B25" s="9"/>
      <c r="C25" s="9"/>
      <c r="D25" s="9"/>
      <c r="E25" s="9"/>
      <c r="F25" s="13"/>
      <c r="G25" s="11">
        <v>41.913248638838397</v>
      </c>
      <c r="H25" s="19">
        <f t="shared" si="4"/>
        <v>4.1913248638838398</v>
      </c>
      <c r="I25" s="9">
        <v>-53.063157894736797</v>
      </c>
      <c r="J25" s="9">
        <f t="shared" si="5"/>
        <v>238.58804375124535</v>
      </c>
      <c r="K25" s="35">
        <f t="shared" si="6"/>
        <v>0.2642630326678761</v>
      </c>
      <c r="L25" s="19">
        <f t="shared" si="7"/>
        <v>-34.411956248754649</v>
      </c>
      <c r="M25" s="19"/>
      <c r="N25" s="9">
        <f t="shared" si="8"/>
        <v>9.0149502415294673E-24</v>
      </c>
      <c r="O25" s="37">
        <f t="shared" si="9"/>
        <v>9.0149502415294671E-20</v>
      </c>
      <c r="P25" s="11"/>
      <c r="Q25" s="9"/>
      <c r="R25" s="9"/>
      <c r="S25" s="9"/>
      <c r="T25" s="9"/>
      <c r="U25" s="13"/>
    </row>
    <row r="26" spans="1:21" x14ac:dyDescent="0.3">
      <c r="A26" s="9"/>
      <c r="B26" s="9"/>
      <c r="C26" s="9"/>
      <c r="D26" s="9"/>
      <c r="E26" s="9"/>
      <c r="F26" s="13"/>
      <c r="G26" s="11">
        <v>43.201270417422798</v>
      </c>
      <c r="H26" s="19">
        <f t="shared" si="4"/>
        <v>4.3201270417422801</v>
      </c>
      <c r="I26" s="9">
        <v>-53.6526315789473</v>
      </c>
      <c r="J26" s="9">
        <f t="shared" si="5"/>
        <v>231.47467431807431</v>
      </c>
      <c r="K26" s="35">
        <f t="shared" si="6"/>
        <v>0.27238400998185075</v>
      </c>
      <c r="L26" s="19">
        <f t="shared" si="7"/>
        <v>-41.525325681925693</v>
      </c>
      <c r="M26" s="19"/>
      <c r="N26" s="9">
        <f t="shared" si="8"/>
        <v>4.9998637042361657E-24</v>
      </c>
      <c r="O26" s="37">
        <f t="shared" si="9"/>
        <v>4.9998637042361658E-20</v>
      </c>
      <c r="P26" s="11"/>
      <c r="Q26" s="9"/>
      <c r="R26" s="9"/>
      <c r="S26" s="9"/>
      <c r="T26" s="9"/>
      <c r="U26" s="13"/>
    </row>
    <row r="30" spans="1:21" x14ac:dyDescent="0.3">
      <c r="P30" t="s">
        <v>66</v>
      </c>
    </row>
    <row r="31" spans="1:21" x14ac:dyDescent="0.3">
      <c r="P31" t="s">
        <v>14</v>
      </c>
      <c r="Q31">
        <v>-20.92</v>
      </c>
    </row>
    <row r="32" spans="1:21" x14ac:dyDescent="0.3">
      <c r="P32" t="s">
        <v>16</v>
      </c>
      <c r="Q32">
        <v>-19.95</v>
      </c>
    </row>
    <row r="33" spans="16:17" x14ac:dyDescent="0.3">
      <c r="P33" t="s">
        <v>22</v>
      </c>
      <c r="Q33">
        <v>-14.93</v>
      </c>
    </row>
    <row r="34" spans="16:17" x14ac:dyDescent="0.3">
      <c r="P34" t="s">
        <v>23</v>
      </c>
      <c r="Q34">
        <v>-14.03</v>
      </c>
    </row>
    <row r="35" spans="16:17" x14ac:dyDescent="0.3">
      <c r="P35" t="s">
        <v>15</v>
      </c>
      <c r="Q35">
        <v>-19.57</v>
      </c>
    </row>
    <row r="37" spans="16:17" x14ac:dyDescent="0.3">
      <c r="P37" t="s">
        <v>67</v>
      </c>
      <c r="Q37">
        <f>AVERAGE(Q31:Q35)</f>
        <v>-17.880000000000003</v>
      </c>
    </row>
    <row r="38" spans="16:17" x14ac:dyDescent="0.3">
      <c r="P38" t="s">
        <v>68</v>
      </c>
      <c r="Q38">
        <f>(Q37-Q34)/Q37</f>
        <v>0.21532438478747218</v>
      </c>
    </row>
    <row r="39" spans="16:17" x14ac:dyDescent="0.3">
      <c r="P39" t="s">
        <v>69</v>
      </c>
      <c r="Q39">
        <f>(Q31-Q37)/Q37</f>
        <v>0.17002237136465317</v>
      </c>
    </row>
    <row r="52" spans="1:29" ht="15" thickBot="1" x14ac:dyDescent="0.35">
      <c r="A52" s="53" t="s">
        <v>59</v>
      </c>
      <c r="B52" s="53"/>
      <c r="C52" s="53"/>
      <c r="D52" s="53"/>
      <c r="E52" s="53"/>
      <c r="F52" s="54"/>
      <c r="G52" s="31" t="s">
        <v>60</v>
      </c>
      <c r="H52" s="32"/>
      <c r="I52" s="32"/>
      <c r="J52" s="33"/>
      <c r="K52" s="84"/>
      <c r="L52" s="71" t="s">
        <v>61</v>
      </c>
      <c r="M52" s="72"/>
      <c r="N52" s="72"/>
      <c r="O52" s="72"/>
      <c r="P52" s="72"/>
      <c r="Q52" s="73"/>
      <c r="R52" s="41" t="s">
        <v>62</v>
      </c>
      <c r="S52" s="49"/>
      <c r="T52" s="49"/>
      <c r="U52" s="49"/>
      <c r="V52" s="49"/>
      <c r="W52" s="42"/>
      <c r="X52" s="38" t="s">
        <v>63</v>
      </c>
      <c r="Y52" s="39"/>
      <c r="Z52" s="39"/>
      <c r="AA52" s="39"/>
      <c r="AB52" s="39"/>
      <c r="AC52" s="40"/>
    </row>
    <row r="53" spans="1:29" x14ac:dyDescent="0.3">
      <c r="A53" s="18" t="s">
        <v>39</v>
      </c>
      <c r="B53" s="8" t="s">
        <v>45</v>
      </c>
      <c r="C53" s="8" t="s">
        <v>37</v>
      </c>
      <c r="D53" s="55" t="s">
        <v>64</v>
      </c>
      <c r="E53" s="18" t="s">
        <v>38</v>
      </c>
      <c r="F53" s="57" t="s">
        <v>40</v>
      </c>
      <c r="G53" s="20" t="s">
        <v>39</v>
      </c>
      <c r="H53" s="18" t="s">
        <v>37</v>
      </c>
      <c r="I53" s="18" t="s">
        <v>38</v>
      </c>
      <c r="J53" s="34" t="s">
        <v>64</v>
      </c>
      <c r="K53" s="36" t="s">
        <v>40</v>
      </c>
      <c r="L53" s="20" t="s">
        <v>37</v>
      </c>
      <c r="M53" s="74" t="s">
        <v>64</v>
      </c>
      <c r="N53" s="18" t="s">
        <v>38</v>
      </c>
      <c r="O53" s="18" t="s">
        <v>39</v>
      </c>
      <c r="P53" s="18" t="s">
        <v>43</v>
      </c>
      <c r="Q53" s="76" t="s">
        <v>40</v>
      </c>
      <c r="R53" s="20" t="s">
        <v>37</v>
      </c>
      <c r="S53" s="50" t="s">
        <v>64</v>
      </c>
      <c r="T53" s="18" t="s">
        <v>38</v>
      </c>
      <c r="U53" s="18" t="s">
        <v>39</v>
      </c>
      <c r="V53" s="18" t="s">
        <v>43</v>
      </c>
      <c r="W53" s="44" t="s">
        <v>40</v>
      </c>
      <c r="X53" s="20" t="s">
        <v>37</v>
      </c>
      <c r="Y53" s="14" t="s">
        <v>64</v>
      </c>
      <c r="Z53" s="18" t="s">
        <v>38</v>
      </c>
      <c r="AA53" s="18" t="s">
        <v>39</v>
      </c>
      <c r="AB53" s="18" t="s">
        <v>43</v>
      </c>
      <c r="AC53" s="15" t="s">
        <v>40</v>
      </c>
    </row>
    <row r="54" spans="1:29" x14ac:dyDescent="0.3">
      <c r="A54" s="19">
        <v>901</v>
      </c>
      <c r="B54" s="9">
        <v>50.4</v>
      </c>
      <c r="C54" s="9">
        <f>A54+273</f>
        <v>1174</v>
      </c>
      <c r="D54" s="56">
        <f>1519/C54</f>
        <v>1.2938671209540034</v>
      </c>
      <c r="E54" s="19">
        <f>1000/C54</f>
        <v>0.85178875638841567</v>
      </c>
      <c r="F54" s="58">
        <f>B54*(10^-13)</f>
        <v>5.0400000000000003E-12</v>
      </c>
      <c r="G54" s="52">
        <v>1050</v>
      </c>
      <c r="H54" s="19">
        <f>G54+273</f>
        <v>1323</v>
      </c>
      <c r="I54" s="19">
        <f>1000/H54</f>
        <v>0.75585789871504161</v>
      </c>
      <c r="J54" s="85">
        <f>1728/H54</f>
        <v>1.3061224489795917</v>
      </c>
      <c r="K54" s="61">
        <v>6.0099999999999996E-13</v>
      </c>
      <c r="L54" s="52">
        <v>1163</v>
      </c>
      <c r="M54" s="75">
        <f>2750/L54</f>
        <v>2.3645743766122096</v>
      </c>
      <c r="N54" s="19">
        <f>1000/L54</f>
        <v>0.85984522785898543</v>
      </c>
      <c r="O54" s="19">
        <f>L54-273</f>
        <v>890</v>
      </c>
      <c r="P54" s="10">
        <v>4.0400000000000002E-15</v>
      </c>
      <c r="Q54" s="77">
        <f>P54*(100^2)</f>
        <v>4.0400000000000004E-11</v>
      </c>
      <c r="R54" s="11">
        <v>1163</v>
      </c>
      <c r="S54" s="51">
        <f>2896/R54</f>
        <v>2.4901117798796215</v>
      </c>
      <c r="T54" s="19">
        <f>1000/R54</f>
        <v>0.85984522785898543</v>
      </c>
      <c r="U54" s="19">
        <f>R54-273</f>
        <v>890</v>
      </c>
      <c r="V54" s="10">
        <v>2.7500000000000001E-15</v>
      </c>
      <c r="W54" s="78">
        <f>V54*(100^2)</f>
        <v>2.7500000000000002E-11</v>
      </c>
      <c r="X54" s="11">
        <v>1174</v>
      </c>
      <c r="Y54" s="16">
        <f>2180/X54</f>
        <v>1.8568994889267463</v>
      </c>
      <c r="Z54" s="19">
        <f>1000/X54</f>
        <v>0.85178875638841567</v>
      </c>
      <c r="AA54" s="19">
        <f>X54-273</f>
        <v>901</v>
      </c>
      <c r="AB54" s="10">
        <v>4.6699999999999998E-15</v>
      </c>
      <c r="AC54" s="17">
        <f>AB54*(100^2)</f>
        <v>4.6699999999999998E-11</v>
      </c>
    </row>
    <row r="55" spans="1:29" x14ac:dyDescent="0.3">
      <c r="A55" s="19">
        <v>870.3</v>
      </c>
      <c r="B55" s="9">
        <v>25.5</v>
      </c>
      <c r="C55" s="9">
        <f t="shared" ref="C55:C59" si="14">A55+273</f>
        <v>1143.3</v>
      </c>
      <c r="D55" s="56">
        <f t="shared" ref="D55:D59" si="15">1519/C55</f>
        <v>1.3286101635616199</v>
      </c>
      <c r="E55" s="19">
        <f t="shared" ref="E55:E59" si="16">1000/C55</f>
        <v>0.87466106883582617</v>
      </c>
      <c r="F55" s="58">
        <f t="shared" ref="F55:F59" si="17">B55*(10^-13)</f>
        <v>2.5500000000000002E-12</v>
      </c>
      <c r="G55" s="52">
        <v>1000</v>
      </c>
      <c r="H55" s="19">
        <f t="shared" ref="H55:H79" si="18">G55+273</f>
        <v>1273</v>
      </c>
      <c r="I55" s="19">
        <f t="shared" ref="I55:I79" si="19">1000/H55</f>
        <v>0.78554595443833464</v>
      </c>
      <c r="J55" s="85">
        <f t="shared" ref="J55:J79" si="20">1728/H55</f>
        <v>1.3574234092694422</v>
      </c>
      <c r="K55" s="61">
        <v>2.37E-13</v>
      </c>
      <c r="L55" s="52">
        <v>1148</v>
      </c>
      <c r="M55" s="75">
        <f t="shared" ref="M55:M73" si="21">2750/L55</f>
        <v>2.3954703832752613</v>
      </c>
      <c r="N55" s="19">
        <f t="shared" ref="N55:N73" si="22">1000/L55</f>
        <v>0.87108013937282225</v>
      </c>
      <c r="O55" s="19">
        <f t="shared" ref="O55:O73" si="23">L55-273</f>
        <v>875</v>
      </c>
      <c r="P55" s="10">
        <v>3.6099999999999999E-15</v>
      </c>
      <c r="Q55" s="77">
        <f t="shared" ref="Q55:Q73" si="24">P55*(100^2)</f>
        <v>3.6099999999999997E-11</v>
      </c>
      <c r="R55" s="11">
        <v>1163</v>
      </c>
      <c r="S55" s="51">
        <f t="shared" ref="S55:S75" si="25">2896/R55</f>
        <v>2.4901117798796215</v>
      </c>
      <c r="T55" s="19">
        <f t="shared" ref="T55:T75" si="26">1000/R55</f>
        <v>0.85984522785898543</v>
      </c>
      <c r="U55" s="19">
        <f t="shared" ref="U55:U75" si="27">R55-273</f>
        <v>890</v>
      </c>
      <c r="V55" s="10">
        <v>2.9700000000000001E-15</v>
      </c>
      <c r="W55" s="78">
        <f t="shared" ref="W55:W75" si="28">V55*(100^2)</f>
        <v>2.9699999999999998E-11</v>
      </c>
      <c r="X55" s="11">
        <v>1171</v>
      </c>
      <c r="Y55" s="16">
        <f t="shared" ref="Y55:Y83" si="29">2180/X55</f>
        <v>1.8616567036720753</v>
      </c>
      <c r="Z55" s="19">
        <f t="shared" ref="Z55:Z83" si="30">1000/X55</f>
        <v>0.85397096498719038</v>
      </c>
      <c r="AA55" s="19">
        <f t="shared" ref="AA55:AA83" si="31">X55-273</f>
        <v>898</v>
      </c>
      <c r="AB55" s="10">
        <v>4.76E-15</v>
      </c>
      <c r="AC55" s="17">
        <f t="shared" ref="AC55:AC83" si="32">AB55*(100^2)</f>
        <v>4.7600000000000002E-11</v>
      </c>
    </row>
    <row r="56" spans="1:29" x14ac:dyDescent="0.3">
      <c r="A56" s="19">
        <v>839.7</v>
      </c>
      <c r="B56" s="9">
        <v>12.3</v>
      </c>
      <c r="C56" s="9">
        <f t="shared" si="14"/>
        <v>1112.7</v>
      </c>
      <c r="D56" s="56">
        <f t="shared" si="15"/>
        <v>1.3651478385908151</v>
      </c>
      <c r="E56" s="19">
        <f t="shared" si="16"/>
        <v>0.8987148377819717</v>
      </c>
      <c r="F56" s="58">
        <f t="shared" si="17"/>
        <v>1.23E-12</v>
      </c>
      <c r="G56" s="52">
        <v>960</v>
      </c>
      <c r="H56" s="19">
        <f t="shared" si="18"/>
        <v>1233</v>
      </c>
      <c r="I56" s="19">
        <f t="shared" si="19"/>
        <v>0.81103000811030013</v>
      </c>
      <c r="J56" s="85">
        <f t="shared" si="20"/>
        <v>1.4014598540145986</v>
      </c>
      <c r="K56" s="61">
        <v>1.31E-13</v>
      </c>
      <c r="L56" s="52">
        <v>1133</v>
      </c>
      <c r="M56" s="75">
        <f t="shared" si="21"/>
        <v>2.4271844660194173</v>
      </c>
      <c r="N56" s="19">
        <f t="shared" si="22"/>
        <v>0.88261253309796994</v>
      </c>
      <c r="O56" s="19">
        <f t="shared" si="23"/>
        <v>860</v>
      </c>
      <c r="P56" s="10">
        <v>2.0700000000000001E-15</v>
      </c>
      <c r="Q56" s="77">
        <f t="shared" si="24"/>
        <v>2.07E-11</v>
      </c>
      <c r="R56" s="11">
        <v>1143</v>
      </c>
      <c r="S56" s="51">
        <f t="shared" si="25"/>
        <v>2.5336832895888013</v>
      </c>
      <c r="T56" s="19">
        <f t="shared" si="26"/>
        <v>0.87489063867016625</v>
      </c>
      <c r="U56" s="19">
        <f t="shared" si="27"/>
        <v>870</v>
      </c>
      <c r="V56" s="10">
        <v>1.64E-15</v>
      </c>
      <c r="W56" s="78">
        <f t="shared" si="28"/>
        <v>1.64E-11</v>
      </c>
      <c r="X56" s="11">
        <v>1155</v>
      </c>
      <c r="Y56" s="16">
        <f t="shared" si="29"/>
        <v>1.8874458874458875</v>
      </c>
      <c r="Z56" s="19">
        <f t="shared" si="30"/>
        <v>0.86580086580086579</v>
      </c>
      <c r="AA56" s="19">
        <f t="shared" si="31"/>
        <v>882</v>
      </c>
      <c r="AB56" s="10">
        <v>3.3100000000000001E-15</v>
      </c>
      <c r="AC56" s="17">
        <f t="shared" si="32"/>
        <v>3.3100000000000001E-11</v>
      </c>
    </row>
    <row r="57" spans="1:29" x14ac:dyDescent="0.3">
      <c r="A57" s="19">
        <v>839.7</v>
      </c>
      <c r="B57" s="9">
        <v>11.8</v>
      </c>
      <c r="C57" s="9">
        <f t="shared" si="14"/>
        <v>1112.7</v>
      </c>
      <c r="D57" s="56">
        <f t="shared" si="15"/>
        <v>1.3651478385908151</v>
      </c>
      <c r="E57" s="19">
        <f t="shared" si="16"/>
        <v>0.8987148377819717</v>
      </c>
      <c r="F57" s="58">
        <f t="shared" si="17"/>
        <v>1.18E-12</v>
      </c>
      <c r="G57" s="52">
        <v>930</v>
      </c>
      <c r="H57" s="19">
        <f t="shared" si="18"/>
        <v>1203</v>
      </c>
      <c r="I57" s="19">
        <f t="shared" si="19"/>
        <v>0.83125519534497094</v>
      </c>
      <c r="J57" s="85">
        <f t="shared" si="20"/>
        <v>1.4364089775561097</v>
      </c>
      <c r="K57" s="61">
        <v>4.2500000000000001E-13</v>
      </c>
      <c r="L57" s="52">
        <v>1123</v>
      </c>
      <c r="M57" s="75">
        <f t="shared" si="21"/>
        <v>2.4487978628673197</v>
      </c>
      <c r="N57" s="19">
        <f t="shared" si="22"/>
        <v>0.89047195013357083</v>
      </c>
      <c r="O57" s="19">
        <f t="shared" si="23"/>
        <v>850</v>
      </c>
      <c r="P57" s="10">
        <v>1.4999999999999999E-15</v>
      </c>
      <c r="Q57" s="77">
        <f t="shared" si="24"/>
        <v>1.5E-11</v>
      </c>
      <c r="R57" s="11">
        <v>1123</v>
      </c>
      <c r="S57" s="51">
        <f t="shared" si="25"/>
        <v>2.5788067675868209</v>
      </c>
      <c r="T57" s="19">
        <f t="shared" si="26"/>
        <v>0.89047195013357083</v>
      </c>
      <c r="U57" s="19">
        <f t="shared" si="27"/>
        <v>850</v>
      </c>
      <c r="V57" s="10">
        <v>1.19E-15</v>
      </c>
      <c r="W57" s="78">
        <f t="shared" si="28"/>
        <v>1.1900000000000001E-11</v>
      </c>
      <c r="X57" s="11">
        <v>1152</v>
      </c>
      <c r="Y57" s="16">
        <f t="shared" si="29"/>
        <v>1.8923611111111112</v>
      </c>
      <c r="Z57" s="19">
        <f t="shared" si="30"/>
        <v>0.86805555555555558</v>
      </c>
      <c r="AA57" s="19">
        <f t="shared" si="31"/>
        <v>879</v>
      </c>
      <c r="AB57" s="10">
        <v>2.6099999999999998E-15</v>
      </c>
      <c r="AC57" s="17">
        <f t="shared" si="32"/>
        <v>2.6099999999999999E-11</v>
      </c>
    </row>
    <row r="58" spans="1:29" x14ac:dyDescent="0.3">
      <c r="A58" s="19">
        <v>809</v>
      </c>
      <c r="B58" s="9">
        <v>5.7</v>
      </c>
      <c r="C58" s="9">
        <f t="shared" si="14"/>
        <v>1082</v>
      </c>
      <c r="D58" s="56">
        <f t="shared" si="15"/>
        <v>1.4038817005545285</v>
      </c>
      <c r="E58" s="19">
        <f t="shared" si="16"/>
        <v>0.92421441774491686</v>
      </c>
      <c r="F58" s="58">
        <f t="shared" si="17"/>
        <v>5.6999999999999999E-13</v>
      </c>
      <c r="G58" s="52">
        <v>900</v>
      </c>
      <c r="H58" s="19">
        <f t="shared" si="18"/>
        <v>1173</v>
      </c>
      <c r="I58" s="19">
        <f t="shared" si="19"/>
        <v>0.85251491901108267</v>
      </c>
      <c r="J58" s="85">
        <f t="shared" si="20"/>
        <v>1.4731457800511509</v>
      </c>
      <c r="K58" s="61">
        <v>5.2300000000000003E-11</v>
      </c>
      <c r="L58" s="52">
        <v>1123</v>
      </c>
      <c r="M58" s="75">
        <f t="shared" si="21"/>
        <v>2.4487978628673197</v>
      </c>
      <c r="N58" s="19">
        <f t="shared" si="22"/>
        <v>0.89047195013357083</v>
      </c>
      <c r="O58" s="19">
        <f t="shared" si="23"/>
        <v>850</v>
      </c>
      <c r="P58" s="10">
        <v>1.5599999999999999E-15</v>
      </c>
      <c r="Q58" s="77">
        <f t="shared" si="24"/>
        <v>1.56E-11</v>
      </c>
      <c r="R58" s="11">
        <v>1103</v>
      </c>
      <c r="S58" s="51">
        <f t="shared" si="25"/>
        <v>2.6255666364460564</v>
      </c>
      <c r="T58" s="19">
        <f t="shared" si="26"/>
        <v>0.90661831368993651</v>
      </c>
      <c r="U58" s="19">
        <f t="shared" si="27"/>
        <v>830</v>
      </c>
      <c r="V58" s="10">
        <v>6.5700000000000003E-16</v>
      </c>
      <c r="W58" s="78">
        <f t="shared" si="28"/>
        <v>6.5700000000000005E-12</v>
      </c>
      <c r="X58" s="11">
        <v>1149</v>
      </c>
      <c r="Y58" s="16">
        <f t="shared" si="29"/>
        <v>1.8973020017406441</v>
      </c>
      <c r="Z58" s="19">
        <f t="shared" si="30"/>
        <v>0.8703220191470844</v>
      </c>
      <c r="AA58" s="19">
        <f t="shared" si="31"/>
        <v>876</v>
      </c>
      <c r="AB58" s="10">
        <v>2.3499999999999999E-15</v>
      </c>
      <c r="AC58" s="17">
        <f t="shared" si="32"/>
        <v>2.35E-11</v>
      </c>
    </row>
    <row r="59" spans="1:29" x14ac:dyDescent="0.3">
      <c r="A59" s="19">
        <v>778.3</v>
      </c>
      <c r="B59" s="9">
        <v>2.0699999999999998</v>
      </c>
      <c r="C59" s="9">
        <f t="shared" si="14"/>
        <v>1051.3</v>
      </c>
      <c r="D59" s="56">
        <f t="shared" si="15"/>
        <v>1.4448777703795301</v>
      </c>
      <c r="E59" s="19">
        <f t="shared" si="16"/>
        <v>0.95120327213925615</v>
      </c>
      <c r="F59" s="58">
        <f t="shared" si="17"/>
        <v>2.07E-13</v>
      </c>
      <c r="G59" s="52">
        <v>900</v>
      </c>
      <c r="H59" s="19">
        <f t="shared" si="18"/>
        <v>1173</v>
      </c>
      <c r="I59" s="19">
        <f t="shared" si="19"/>
        <v>0.85251491901108267</v>
      </c>
      <c r="J59" s="85">
        <f t="shared" si="20"/>
        <v>1.4731457800511509</v>
      </c>
      <c r="K59" s="61">
        <v>4.1499999999999999E-11</v>
      </c>
      <c r="L59" s="52">
        <v>1103</v>
      </c>
      <c r="M59" s="75">
        <f t="shared" si="21"/>
        <v>2.4932003626473254</v>
      </c>
      <c r="N59" s="19">
        <f t="shared" si="22"/>
        <v>0.90661831368993651</v>
      </c>
      <c r="O59" s="19">
        <f t="shared" si="23"/>
        <v>830</v>
      </c>
      <c r="P59" s="10">
        <v>9.7799999999999992E-16</v>
      </c>
      <c r="Q59" s="77">
        <f t="shared" si="24"/>
        <v>9.7799999999999991E-12</v>
      </c>
      <c r="R59" s="11">
        <v>1103</v>
      </c>
      <c r="S59" s="51">
        <f t="shared" si="25"/>
        <v>2.6255666364460564</v>
      </c>
      <c r="T59" s="19">
        <f t="shared" si="26"/>
        <v>0.90661831368993651</v>
      </c>
      <c r="U59" s="19">
        <f t="shared" si="27"/>
        <v>830</v>
      </c>
      <c r="V59" s="10">
        <v>6.7400000000000001E-16</v>
      </c>
      <c r="W59" s="78">
        <f t="shared" si="28"/>
        <v>6.74E-12</v>
      </c>
      <c r="X59" s="11">
        <v>1141</v>
      </c>
      <c r="Y59" s="16">
        <f t="shared" si="29"/>
        <v>1.9106047326906224</v>
      </c>
      <c r="Z59" s="19">
        <f t="shared" si="30"/>
        <v>0.87642418930762489</v>
      </c>
      <c r="AA59" s="19">
        <f t="shared" si="31"/>
        <v>868</v>
      </c>
      <c r="AB59" s="10">
        <v>2.0799999999999999E-15</v>
      </c>
      <c r="AC59" s="17">
        <f t="shared" si="32"/>
        <v>2.0799999999999999E-11</v>
      </c>
    </row>
    <row r="60" spans="1:29" x14ac:dyDescent="0.3">
      <c r="A60" s="9"/>
      <c r="B60" s="9"/>
      <c r="C60" s="9"/>
      <c r="D60" s="9"/>
      <c r="E60" s="9"/>
      <c r="F60" s="13"/>
      <c r="G60" s="52">
        <v>870</v>
      </c>
      <c r="H60" s="19">
        <f t="shared" si="18"/>
        <v>1143</v>
      </c>
      <c r="I60" s="19">
        <f t="shared" si="19"/>
        <v>0.87489063867016625</v>
      </c>
      <c r="J60" s="85">
        <f t="shared" si="20"/>
        <v>1.5118110236220472</v>
      </c>
      <c r="K60" s="61">
        <v>2.7E-11</v>
      </c>
      <c r="L60" s="52">
        <v>1103</v>
      </c>
      <c r="M60" s="75">
        <f t="shared" si="21"/>
        <v>2.4932003626473254</v>
      </c>
      <c r="N60" s="19">
        <f t="shared" si="22"/>
        <v>0.90661831368993651</v>
      </c>
      <c r="O60" s="19">
        <f t="shared" si="23"/>
        <v>830</v>
      </c>
      <c r="P60" s="10">
        <v>1.0000000000000001E-15</v>
      </c>
      <c r="Q60" s="77">
        <f t="shared" si="24"/>
        <v>1.0000000000000001E-11</v>
      </c>
      <c r="R60" s="11">
        <v>1088</v>
      </c>
      <c r="S60" s="51">
        <f t="shared" si="25"/>
        <v>2.6617647058823528</v>
      </c>
      <c r="T60" s="19">
        <f t="shared" si="26"/>
        <v>0.91911764705882348</v>
      </c>
      <c r="U60" s="19">
        <f t="shared" si="27"/>
        <v>815</v>
      </c>
      <c r="V60" s="10">
        <v>3.9500000000000001E-16</v>
      </c>
      <c r="W60" s="78">
        <f t="shared" si="28"/>
        <v>3.9499999999999999E-12</v>
      </c>
      <c r="X60" s="11">
        <v>1125</v>
      </c>
      <c r="Y60" s="16">
        <f t="shared" si="29"/>
        <v>1.9377777777777778</v>
      </c>
      <c r="Z60" s="19">
        <f t="shared" si="30"/>
        <v>0.88888888888888884</v>
      </c>
      <c r="AA60" s="19">
        <f t="shared" si="31"/>
        <v>852</v>
      </c>
      <c r="AB60" s="10">
        <v>1.3899999999999999E-15</v>
      </c>
      <c r="AC60" s="17">
        <f t="shared" si="32"/>
        <v>1.3899999999999999E-11</v>
      </c>
    </row>
    <row r="61" spans="1:29" x14ac:dyDescent="0.3">
      <c r="A61" s="9"/>
      <c r="B61" s="9"/>
      <c r="C61" s="9"/>
      <c r="D61" s="9"/>
      <c r="E61" s="9"/>
      <c r="F61" s="13"/>
      <c r="G61" s="52">
        <v>870</v>
      </c>
      <c r="H61" s="19">
        <f t="shared" si="18"/>
        <v>1143</v>
      </c>
      <c r="I61" s="19">
        <f t="shared" si="19"/>
        <v>0.87489063867016625</v>
      </c>
      <c r="J61" s="85">
        <f t="shared" si="20"/>
        <v>1.5118110236220472</v>
      </c>
      <c r="K61" s="61">
        <v>2.7299999999999999E-11</v>
      </c>
      <c r="L61" s="52">
        <v>1083</v>
      </c>
      <c r="M61" s="75">
        <f t="shared" si="21"/>
        <v>2.5392428439519854</v>
      </c>
      <c r="N61" s="19">
        <f t="shared" si="22"/>
        <v>0.92336103416435822</v>
      </c>
      <c r="O61" s="19">
        <f t="shared" si="23"/>
        <v>810</v>
      </c>
      <c r="P61" s="10">
        <v>5.4200000000000003E-16</v>
      </c>
      <c r="Q61" s="77">
        <f t="shared" si="24"/>
        <v>5.4199999999999999E-12</v>
      </c>
      <c r="R61" s="11">
        <v>1073</v>
      </c>
      <c r="S61" s="51">
        <f t="shared" si="25"/>
        <v>2.6989748369058715</v>
      </c>
      <c r="T61" s="19">
        <f t="shared" si="26"/>
        <v>0.93196644920782856</v>
      </c>
      <c r="U61" s="19">
        <f t="shared" si="27"/>
        <v>800</v>
      </c>
      <c r="V61" s="10">
        <v>2.8699999999999998E-16</v>
      </c>
      <c r="W61" s="78">
        <f t="shared" si="28"/>
        <v>2.8699999999999997E-12</v>
      </c>
      <c r="X61" s="11">
        <v>1110</v>
      </c>
      <c r="Y61" s="16">
        <f t="shared" si="29"/>
        <v>1.9639639639639639</v>
      </c>
      <c r="Z61" s="19">
        <f t="shared" si="30"/>
        <v>0.90090090090090091</v>
      </c>
      <c r="AA61" s="19">
        <f t="shared" si="31"/>
        <v>837</v>
      </c>
      <c r="AB61" s="10">
        <v>1.14E-15</v>
      </c>
      <c r="AC61" s="17">
        <f t="shared" si="32"/>
        <v>1.1399999999999999E-11</v>
      </c>
    </row>
    <row r="62" spans="1:29" x14ac:dyDescent="0.3">
      <c r="A62" s="9"/>
      <c r="B62" s="9"/>
      <c r="C62" s="9"/>
      <c r="D62" s="9"/>
      <c r="E62" s="9"/>
      <c r="F62" s="13"/>
      <c r="G62" s="52">
        <v>840</v>
      </c>
      <c r="H62" s="19">
        <f t="shared" si="18"/>
        <v>1113</v>
      </c>
      <c r="I62" s="19">
        <f t="shared" si="19"/>
        <v>0.89847259658580414</v>
      </c>
      <c r="J62" s="85">
        <f t="shared" si="20"/>
        <v>1.5525606469002695</v>
      </c>
      <c r="K62" s="61">
        <v>1.31E-11</v>
      </c>
      <c r="L62" s="52">
        <v>1073</v>
      </c>
      <c r="M62" s="75">
        <f t="shared" si="21"/>
        <v>2.5629077353215286</v>
      </c>
      <c r="N62" s="19">
        <f t="shared" si="22"/>
        <v>0.93196644920782856</v>
      </c>
      <c r="O62" s="19">
        <f t="shared" si="23"/>
        <v>800</v>
      </c>
      <c r="P62" s="10">
        <v>3.8600000000000001E-16</v>
      </c>
      <c r="Q62" s="77">
        <f t="shared" si="24"/>
        <v>3.8600000000000001E-12</v>
      </c>
      <c r="R62" s="11">
        <v>1063</v>
      </c>
      <c r="S62" s="51">
        <f t="shared" si="25"/>
        <v>2.7243650047036687</v>
      </c>
      <c r="T62" s="19">
        <f t="shared" si="26"/>
        <v>0.94073377234242705</v>
      </c>
      <c r="U62" s="19">
        <f t="shared" si="27"/>
        <v>790</v>
      </c>
      <c r="V62" s="10">
        <v>1.8400000000000001E-16</v>
      </c>
      <c r="W62" s="78">
        <f t="shared" si="28"/>
        <v>1.8400000000000002E-12</v>
      </c>
      <c r="X62" s="11">
        <v>1107</v>
      </c>
      <c r="Y62" s="16">
        <f t="shared" si="29"/>
        <v>1.9692863595302619</v>
      </c>
      <c r="Z62" s="19">
        <f t="shared" si="30"/>
        <v>0.90334236675700086</v>
      </c>
      <c r="AA62" s="19">
        <f t="shared" si="31"/>
        <v>834</v>
      </c>
      <c r="AB62" s="10">
        <v>9.1999999999999996E-16</v>
      </c>
      <c r="AC62" s="17">
        <f t="shared" si="32"/>
        <v>9.1999999999999996E-12</v>
      </c>
    </row>
    <row r="63" spans="1:29" x14ac:dyDescent="0.3">
      <c r="A63" s="9"/>
      <c r="B63" s="9"/>
      <c r="C63" s="9"/>
      <c r="D63" s="9"/>
      <c r="E63" s="9"/>
      <c r="F63" s="13"/>
      <c r="G63" s="52">
        <v>840</v>
      </c>
      <c r="H63" s="19">
        <f t="shared" si="18"/>
        <v>1113</v>
      </c>
      <c r="I63" s="19">
        <f t="shared" si="19"/>
        <v>0.89847259658580414</v>
      </c>
      <c r="J63" s="85">
        <f t="shared" si="20"/>
        <v>1.5525606469002695</v>
      </c>
      <c r="K63" s="61">
        <v>1.24E-11</v>
      </c>
      <c r="L63" s="52">
        <v>1053</v>
      </c>
      <c r="M63" s="75">
        <f t="shared" si="21"/>
        <v>2.6115859449192782</v>
      </c>
      <c r="N63" s="19">
        <f t="shared" si="22"/>
        <v>0.94966761633428298</v>
      </c>
      <c r="O63" s="19">
        <f t="shared" si="23"/>
        <v>780</v>
      </c>
      <c r="P63" s="10">
        <v>1.53E-16</v>
      </c>
      <c r="Q63" s="77">
        <f t="shared" si="24"/>
        <v>1.5299999999999999E-12</v>
      </c>
      <c r="R63" s="11">
        <v>1050</v>
      </c>
      <c r="S63" s="51">
        <f t="shared" si="25"/>
        <v>2.7580952380952382</v>
      </c>
      <c r="T63" s="19">
        <f t="shared" si="26"/>
        <v>0.95238095238095233</v>
      </c>
      <c r="U63" s="19">
        <f t="shared" si="27"/>
        <v>777</v>
      </c>
      <c r="V63" s="10">
        <v>1.26E-16</v>
      </c>
      <c r="W63" s="78">
        <f t="shared" si="28"/>
        <v>1.2600000000000001E-12</v>
      </c>
      <c r="X63" s="11">
        <v>1095</v>
      </c>
      <c r="Y63" s="16">
        <f t="shared" si="29"/>
        <v>1.9908675799086757</v>
      </c>
      <c r="Z63" s="19">
        <f t="shared" si="30"/>
        <v>0.91324200913242004</v>
      </c>
      <c r="AA63" s="19">
        <f t="shared" si="31"/>
        <v>822</v>
      </c>
      <c r="AB63" s="10">
        <v>6.4699999999999996E-16</v>
      </c>
      <c r="AC63" s="17">
        <f t="shared" si="32"/>
        <v>6.4699999999999997E-12</v>
      </c>
    </row>
    <row r="64" spans="1:29" x14ac:dyDescent="0.3">
      <c r="A64" s="9"/>
      <c r="B64" s="9"/>
      <c r="C64" s="9"/>
      <c r="D64" s="9"/>
      <c r="E64" s="9"/>
      <c r="F64" s="13"/>
      <c r="G64" s="52">
        <v>810</v>
      </c>
      <c r="H64" s="19">
        <f t="shared" si="18"/>
        <v>1083</v>
      </c>
      <c r="I64" s="19">
        <f t="shared" si="19"/>
        <v>0.92336103416435822</v>
      </c>
      <c r="J64" s="85">
        <f t="shared" si="20"/>
        <v>1.5955678670360112</v>
      </c>
      <c r="K64" s="61">
        <v>8.5600000000000007E-12</v>
      </c>
      <c r="L64" s="52">
        <v>1033</v>
      </c>
      <c r="M64" s="75">
        <f t="shared" si="21"/>
        <v>2.6621490803484997</v>
      </c>
      <c r="N64" s="19">
        <f t="shared" si="22"/>
        <v>0.96805421103581801</v>
      </c>
      <c r="O64" s="19">
        <f t="shared" si="23"/>
        <v>760</v>
      </c>
      <c r="P64" s="10">
        <v>5.4799999999999998E-17</v>
      </c>
      <c r="Q64" s="77">
        <f t="shared" si="24"/>
        <v>5.4799999999999999E-13</v>
      </c>
      <c r="R64" s="11">
        <v>1041</v>
      </c>
      <c r="S64" s="51">
        <f t="shared" si="25"/>
        <v>2.7819404418828051</v>
      </c>
      <c r="T64" s="19">
        <f t="shared" si="26"/>
        <v>0.96061479346781942</v>
      </c>
      <c r="U64" s="19">
        <f t="shared" si="27"/>
        <v>768</v>
      </c>
      <c r="V64" s="10">
        <v>8.8100000000000004E-17</v>
      </c>
      <c r="W64" s="78">
        <f t="shared" si="28"/>
        <v>8.8100000000000008E-13</v>
      </c>
      <c r="X64" s="11">
        <v>1087</v>
      </c>
      <c r="Y64" s="16">
        <f t="shared" si="29"/>
        <v>2.0055197792088317</v>
      </c>
      <c r="Z64" s="19">
        <f t="shared" si="30"/>
        <v>0.91996320147194111</v>
      </c>
      <c r="AA64" s="19">
        <f t="shared" si="31"/>
        <v>814</v>
      </c>
      <c r="AB64" s="10">
        <v>4.1700000000000002E-16</v>
      </c>
      <c r="AC64" s="17">
        <f t="shared" si="32"/>
        <v>4.1700000000000002E-12</v>
      </c>
    </row>
    <row r="65" spans="1:29" x14ac:dyDescent="0.3">
      <c r="A65" s="9"/>
      <c r="B65" s="9"/>
      <c r="C65" s="9"/>
      <c r="D65" s="9"/>
      <c r="E65" s="9"/>
      <c r="F65" s="13"/>
      <c r="G65" s="52">
        <v>810</v>
      </c>
      <c r="H65" s="19">
        <f t="shared" si="18"/>
        <v>1083</v>
      </c>
      <c r="I65" s="19">
        <f t="shared" si="19"/>
        <v>0.92336103416435822</v>
      </c>
      <c r="J65" s="85">
        <f t="shared" si="20"/>
        <v>1.5955678670360112</v>
      </c>
      <c r="K65" s="61">
        <v>5.2599999999999998E-12</v>
      </c>
      <c r="L65" s="52">
        <v>993</v>
      </c>
      <c r="M65" s="75">
        <f t="shared" si="21"/>
        <v>2.7693856998992952</v>
      </c>
      <c r="N65" s="19">
        <f t="shared" si="22"/>
        <v>1.0070493454179255</v>
      </c>
      <c r="O65" s="19">
        <f t="shared" si="23"/>
        <v>720</v>
      </c>
      <c r="P65" s="10">
        <v>1.5799999999999999E-17</v>
      </c>
      <c r="Q65" s="77">
        <f t="shared" si="24"/>
        <v>1.5799999999999998E-13</v>
      </c>
      <c r="R65" s="11">
        <v>1033</v>
      </c>
      <c r="S65" s="51">
        <f t="shared" si="25"/>
        <v>2.8034849951597289</v>
      </c>
      <c r="T65" s="19">
        <f t="shared" si="26"/>
        <v>0.96805421103581801</v>
      </c>
      <c r="U65" s="19">
        <f t="shared" si="27"/>
        <v>760</v>
      </c>
      <c r="V65" s="10">
        <v>5.3700000000000002E-17</v>
      </c>
      <c r="W65" s="78">
        <f t="shared" si="28"/>
        <v>5.3700000000000003E-13</v>
      </c>
      <c r="X65" s="11">
        <v>1074</v>
      </c>
      <c r="Y65" s="16">
        <f t="shared" si="29"/>
        <v>2.0297951582867784</v>
      </c>
      <c r="Z65" s="19">
        <f t="shared" si="30"/>
        <v>0.93109869646182497</v>
      </c>
      <c r="AA65" s="19">
        <f t="shared" si="31"/>
        <v>801</v>
      </c>
      <c r="AB65" s="10">
        <v>3.5600000000000002E-16</v>
      </c>
      <c r="AC65" s="17">
        <f t="shared" si="32"/>
        <v>3.5600000000000002E-12</v>
      </c>
    </row>
    <row r="66" spans="1:29" x14ac:dyDescent="0.3">
      <c r="A66" s="9"/>
      <c r="B66" s="9"/>
      <c r="C66" s="9"/>
      <c r="D66" s="9"/>
      <c r="E66" s="9"/>
      <c r="F66" s="13"/>
      <c r="G66" s="52">
        <v>780</v>
      </c>
      <c r="H66" s="19">
        <f t="shared" si="18"/>
        <v>1053</v>
      </c>
      <c r="I66" s="19">
        <f t="shared" si="19"/>
        <v>0.94966761633428298</v>
      </c>
      <c r="J66" s="85">
        <f t="shared" si="20"/>
        <v>1.641025641025641</v>
      </c>
      <c r="K66" s="61">
        <v>1.4100000000000001E-12</v>
      </c>
      <c r="L66" s="52">
        <v>983</v>
      </c>
      <c r="M66" s="75">
        <f t="shared" si="21"/>
        <v>2.7975584944048828</v>
      </c>
      <c r="N66" s="19">
        <f t="shared" si="22"/>
        <v>1.0172939979654121</v>
      </c>
      <c r="O66" s="19">
        <f t="shared" si="23"/>
        <v>710</v>
      </c>
      <c r="P66" s="10">
        <v>1.4299999999999999E-17</v>
      </c>
      <c r="Q66" s="77">
        <f t="shared" si="24"/>
        <v>1.43E-13</v>
      </c>
      <c r="R66" s="11">
        <v>1023</v>
      </c>
      <c r="S66" s="51">
        <f t="shared" si="25"/>
        <v>2.8308895405669601</v>
      </c>
      <c r="T66" s="19">
        <f t="shared" si="26"/>
        <v>0.97751710654936463</v>
      </c>
      <c r="U66" s="19">
        <f t="shared" si="27"/>
        <v>750</v>
      </c>
      <c r="V66" s="10">
        <v>3.7400000000000001E-17</v>
      </c>
      <c r="W66" s="78">
        <f t="shared" si="28"/>
        <v>3.7400000000000002E-13</v>
      </c>
      <c r="X66" s="11">
        <v>1062</v>
      </c>
      <c r="Y66" s="16">
        <f t="shared" si="29"/>
        <v>2.0527306967984935</v>
      </c>
      <c r="Z66" s="19">
        <f t="shared" si="30"/>
        <v>0.94161958568738224</v>
      </c>
      <c r="AA66" s="19">
        <f t="shared" si="31"/>
        <v>789</v>
      </c>
      <c r="AB66" s="10">
        <v>2.9299999999999998E-16</v>
      </c>
      <c r="AC66" s="17">
        <f t="shared" si="32"/>
        <v>2.9299999999999998E-12</v>
      </c>
    </row>
    <row r="67" spans="1:29" x14ac:dyDescent="0.3">
      <c r="A67" s="9"/>
      <c r="B67" s="9"/>
      <c r="C67" s="9"/>
      <c r="D67" s="9"/>
      <c r="E67" s="9"/>
      <c r="F67" s="13"/>
      <c r="G67" s="52">
        <v>780</v>
      </c>
      <c r="H67" s="19">
        <f t="shared" si="18"/>
        <v>1053</v>
      </c>
      <c r="I67" s="19">
        <f t="shared" si="19"/>
        <v>0.94966761633428298</v>
      </c>
      <c r="J67" s="85">
        <f t="shared" si="20"/>
        <v>1.641025641025641</v>
      </c>
      <c r="K67" s="61">
        <v>1.0700000000000001E-12</v>
      </c>
      <c r="L67" s="52">
        <v>973</v>
      </c>
      <c r="M67" s="75">
        <f t="shared" si="21"/>
        <v>2.8263103802672149</v>
      </c>
      <c r="N67" s="19">
        <f t="shared" si="22"/>
        <v>1.0277492291880781</v>
      </c>
      <c r="O67" s="19">
        <f t="shared" si="23"/>
        <v>700</v>
      </c>
      <c r="P67" s="10">
        <v>7.2900000000000005E-18</v>
      </c>
      <c r="Q67" s="77">
        <f t="shared" si="24"/>
        <v>7.290000000000001E-14</v>
      </c>
      <c r="R67" s="11">
        <v>993</v>
      </c>
      <c r="S67" s="51">
        <f t="shared" si="25"/>
        <v>2.916414904330312</v>
      </c>
      <c r="T67" s="19">
        <f t="shared" si="26"/>
        <v>1.0070493454179255</v>
      </c>
      <c r="U67" s="19">
        <f t="shared" si="27"/>
        <v>720</v>
      </c>
      <c r="V67" s="10">
        <v>9.0700000000000003E-18</v>
      </c>
      <c r="W67" s="78">
        <f t="shared" si="28"/>
        <v>9.0700000000000007E-14</v>
      </c>
      <c r="X67" s="11">
        <v>1055</v>
      </c>
      <c r="Y67" s="16">
        <f t="shared" si="29"/>
        <v>2.066350710900474</v>
      </c>
      <c r="Z67" s="19">
        <f t="shared" si="30"/>
        <v>0.94786729857819907</v>
      </c>
      <c r="AA67" s="19">
        <f t="shared" si="31"/>
        <v>782</v>
      </c>
      <c r="AB67" s="10">
        <v>2.08E-16</v>
      </c>
      <c r="AC67" s="17">
        <f t="shared" si="32"/>
        <v>2.08E-12</v>
      </c>
    </row>
    <row r="68" spans="1:29" x14ac:dyDescent="0.3">
      <c r="A68" s="9"/>
      <c r="B68" s="9"/>
      <c r="C68" s="9"/>
      <c r="D68" s="9"/>
      <c r="E68" s="9"/>
      <c r="F68" s="13"/>
      <c r="G68" s="52">
        <v>780</v>
      </c>
      <c r="H68" s="19">
        <f t="shared" si="18"/>
        <v>1053</v>
      </c>
      <c r="I68" s="19">
        <f t="shared" si="19"/>
        <v>0.94966761633428298</v>
      </c>
      <c r="J68" s="85">
        <f t="shared" si="20"/>
        <v>1.641025641025641</v>
      </c>
      <c r="K68" s="61">
        <v>1.9199999999999999E-12</v>
      </c>
      <c r="L68" s="52">
        <v>923</v>
      </c>
      <c r="M68" s="75">
        <f t="shared" si="21"/>
        <v>2.9794149512459374</v>
      </c>
      <c r="N68" s="19">
        <f t="shared" si="22"/>
        <v>1.0834236186348862</v>
      </c>
      <c r="O68" s="19">
        <f t="shared" si="23"/>
        <v>650</v>
      </c>
      <c r="P68" s="10">
        <v>5.0399999999999998E-19</v>
      </c>
      <c r="Q68" s="77">
        <f t="shared" si="24"/>
        <v>5.0399999999999999E-15</v>
      </c>
      <c r="R68" s="11">
        <v>973</v>
      </c>
      <c r="S68" s="51">
        <f t="shared" si="25"/>
        <v>2.9763617677286742</v>
      </c>
      <c r="T68" s="19">
        <f t="shared" si="26"/>
        <v>1.0277492291880781</v>
      </c>
      <c r="U68" s="19">
        <f t="shared" si="27"/>
        <v>700</v>
      </c>
      <c r="V68" s="10">
        <v>4.78E-18</v>
      </c>
      <c r="W68" s="78">
        <f t="shared" si="28"/>
        <v>4.7800000000000002E-14</v>
      </c>
      <c r="X68" s="11">
        <v>1049</v>
      </c>
      <c r="Y68" s="16">
        <f t="shared" si="29"/>
        <v>2.0781696854146805</v>
      </c>
      <c r="Z68" s="19">
        <f t="shared" si="30"/>
        <v>0.95328884652049573</v>
      </c>
      <c r="AA68" s="19">
        <f t="shared" si="31"/>
        <v>776</v>
      </c>
      <c r="AB68" s="10">
        <v>1.9000000000000001E-16</v>
      </c>
      <c r="AC68" s="17">
        <f t="shared" si="32"/>
        <v>1.9E-12</v>
      </c>
    </row>
    <row r="69" spans="1:29" x14ac:dyDescent="0.3">
      <c r="A69" s="9"/>
      <c r="B69" s="9"/>
      <c r="C69" s="9"/>
      <c r="D69" s="9"/>
      <c r="E69" s="9"/>
      <c r="F69" s="13"/>
      <c r="G69" s="52">
        <v>780</v>
      </c>
      <c r="H69" s="19">
        <f t="shared" si="18"/>
        <v>1053</v>
      </c>
      <c r="I69" s="19">
        <f t="shared" si="19"/>
        <v>0.94966761633428298</v>
      </c>
      <c r="J69" s="85">
        <f t="shared" si="20"/>
        <v>1.641025641025641</v>
      </c>
      <c r="K69" s="61">
        <v>1.8300000000000001E-12</v>
      </c>
      <c r="L69" s="52">
        <v>888</v>
      </c>
      <c r="M69" s="75">
        <f t="shared" si="21"/>
        <v>3.0968468468468466</v>
      </c>
      <c r="N69" s="19">
        <f t="shared" si="22"/>
        <v>1.1261261261261262</v>
      </c>
      <c r="O69" s="19">
        <f t="shared" si="23"/>
        <v>615</v>
      </c>
      <c r="P69" s="10">
        <v>8.5799999999999996E-20</v>
      </c>
      <c r="Q69" s="77">
        <f t="shared" si="24"/>
        <v>8.5799999999999994E-16</v>
      </c>
      <c r="R69" s="11">
        <v>951</v>
      </c>
      <c r="S69" s="51">
        <f t="shared" si="25"/>
        <v>3.0452155625657205</v>
      </c>
      <c r="T69" s="19">
        <f t="shared" si="26"/>
        <v>1.0515247108307044</v>
      </c>
      <c r="U69" s="19">
        <f t="shared" si="27"/>
        <v>678</v>
      </c>
      <c r="V69" s="10">
        <v>1.23E-18</v>
      </c>
      <c r="W69" s="78">
        <f t="shared" si="28"/>
        <v>1.23E-14</v>
      </c>
      <c r="X69" s="11">
        <v>1037</v>
      </c>
      <c r="Y69" s="16">
        <f t="shared" si="29"/>
        <v>2.1022179363548696</v>
      </c>
      <c r="Z69" s="19">
        <f t="shared" si="30"/>
        <v>0.96432015429122464</v>
      </c>
      <c r="AA69" s="19">
        <f t="shared" si="31"/>
        <v>764</v>
      </c>
      <c r="AB69" s="10">
        <v>8.0800000000000001E-17</v>
      </c>
      <c r="AC69" s="17">
        <f t="shared" si="32"/>
        <v>8.0799999999999999E-13</v>
      </c>
    </row>
    <row r="70" spans="1:29" x14ac:dyDescent="0.3">
      <c r="A70" s="9"/>
      <c r="B70" s="9"/>
      <c r="C70" s="9"/>
      <c r="D70" s="9"/>
      <c r="E70" s="9"/>
      <c r="F70" s="13"/>
      <c r="G70" s="52">
        <v>750</v>
      </c>
      <c r="H70" s="19">
        <f t="shared" si="18"/>
        <v>1023</v>
      </c>
      <c r="I70" s="19">
        <f t="shared" si="19"/>
        <v>0.97751710654936463</v>
      </c>
      <c r="J70" s="85">
        <f t="shared" si="20"/>
        <v>1.6891495601173021</v>
      </c>
      <c r="K70" s="61">
        <v>4.1300000000000001E-13</v>
      </c>
      <c r="L70" s="52">
        <v>873</v>
      </c>
      <c r="M70" s="75">
        <f t="shared" si="21"/>
        <v>3.1500572737686139</v>
      </c>
      <c r="N70" s="19">
        <f t="shared" si="22"/>
        <v>1.1454753722794959</v>
      </c>
      <c r="O70" s="19">
        <f t="shared" si="23"/>
        <v>600</v>
      </c>
      <c r="P70" s="10">
        <v>4.0500000000000002E-20</v>
      </c>
      <c r="Q70" s="77">
        <f t="shared" si="24"/>
        <v>4.0500000000000002E-16</v>
      </c>
      <c r="R70" s="11">
        <v>923</v>
      </c>
      <c r="S70" s="51">
        <f t="shared" si="25"/>
        <v>3.1375947995666307</v>
      </c>
      <c r="T70" s="19">
        <f t="shared" si="26"/>
        <v>1.0834236186348862</v>
      </c>
      <c r="U70" s="19">
        <f t="shared" si="27"/>
        <v>650</v>
      </c>
      <c r="V70" s="10">
        <v>3.4599999999999998E-19</v>
      </c>
      <c r="W70" s="78">
        <f t="shared" si="28"/>
        <v>3.4599999999999998E-15</v>
      </c>
      <c r="X70" s="11">
        <v>1034</v>
      </c>
      <c r="Y70" s="16">
        <f t="shared" si="29"/>
        <v>2.1083172147001936</v>
      </c>
      <c r="Z70" s="19">
        <f t="shared" si="30"/>
        <v>0.96711798839458418</v>
      </c>
      <c r="AA70" s="19">
        <f t="shared" si="31"/>
        <v>761</v>
      </c>
      <c r="AB70" s="10">
        <v>8.62E-17</v>
      </c>
      <c r="AC70" s="17">
        <f t="shared" si="32"/>
        <v>8.6199999999999996E-13</v>
      </c>
    </row>
    <row r="71" spans="1:29" x14ac:dyDescent="0.3">
      <c r="A71" s="9"/>
      <c r="B71" s="9"/>
      <c r="C71" s="9"/>
      <c r="D71" s="9"/>
      <c r="E71" s="9"/>
      <c r="F71" s="13"/>
      <c r="G71" s="52">
        <v>750</v>
      </c>
      <c r="H71" s="19">
        <f t="shared" si="18"/>
        <v>1023</v>
      </c>
      <c r="I71" s="19">
        <f t="shared" si="19"/>
        <v>0.97751710654936463</v>
      </c>
      <c r="J71" s="85">
        <f t="shared" si="20"/>
        <v>1.6891495601173021</v>
      </c>
      <c r="K71" s="61">
        <v>3.7199999999999998E-13</v>
      </c>
      <c r="L71" s="52">
        <v>858</v>
      </c>
      <c r="M71" s="75">
        <f t="shared" si="21"/>
        <v>3.2051282051282053</v>
      </c>
      <c r="N71" s="19">
        <f t="shared" si="22"/>
        <v>1.1655011655011656</v>
      </c>
      <c r="O71" s="19">
        <f t="shared" si="23"/>
        <v>585</v>
      </c>
      <c r="P71" s="10">
        <v>1.76E-20</v>
      </c>
      <c r="Q71" s="77">
        <f t="shared" si="24"/>
        <v>1.76E-16</v>
      </c>
      <c r="R71" s="11">
        <v>901</v>
      </c>
      <c r="S71" s="51">
        <f t="shared" si="25"/>
        <v>3.2142064372918977</v>
      </c>
      <c r="T71" s="19">
        <f t="shared" si="26"/>
        <v>1.1098779134295227</v>
      </c>
      <c r="U71" s="19">
        <f t="shared" si="27"/>
        <v>628</v>
      </c>
      <c r="V71" s="10">
        <v>1.37E-19</v>
      </c>
      <c r="W71" s="78">
        <f t="shared" si="28"/>
        <v>1.37E-15</v>
      </c>
      <c r="X71" s="11">
        <v>1026</v>
      </c>
      <c r="Y71" s="16">
        <f t="shared" si="29"/>
        <v>2.1247563352826511</v>
      </c>
      <c r="Z71" s="19">
        <f t="shared" si="30"/>
        <v>0.97465886939571145</v>
      </c>
      <c r="AA71" s="19">
        <f t="shared" si="31"/>
        <v>753</v>
      </c>
      <c r="AB71" s="10">
        <v>5.0500000000000001E-17</v>
      </c>
      <c r="AC71" s="17">
        <f t="shared" si="32"/>
        <v>5.0499999999999997E-13</v>
      </c>
    </row>
    <row r="72" spans="1:29" x14ac:dyDescent="0.3">
      <c r="A72" s="9"/>
      <c r="B72" s="9"/>
      <c r="C72" s="9"/>
      <c r="D72" s="9"/>
      <c r="E72" s="9"/>
      <c r="F72" s="13"/>
      <c r="G72" s="52">
        <v>750</v>
      </c>
      <c r="H72" s="19">
        <f t="shared" si="18"/>
        <v>1023</v>
      </c>
      <c r="I72" s="19">
        <f t="shared" si="19"/>
        <v>0.97751710654936463</v>
      </c>
      <c r="J72" s="85">
        <f t="shared" si="20"/>
        <v>1.6891495601173021</v>
      </c>
      <c r="K72" s="61">
        <v>7.4099999999999997E-13</v>
      </c>
      <c r="L72" s="52">
        <v>843</v>
      </c>
      <c r="M72" s="75">
        <f t="shared" si="21"/>
        <v>3.262158956109134</v>
      </c>
      <c r="N72" s="19">
        <f t="shared" si="22"/>
        <v>1.1862396204033214</v>
      </c>
      <c r="O72" s="19">
        <f t="shared" si="23"/>
        <v>570</v>
      </c>
      <c r="P72" s="10">
        <v>8.8700000000000002E-21</v>
      </c>
      <c r="Q72" s="77">
        <f t="shared" si="24"/>
        <v>8.8700000000000004E-17</v>
      </c>
      <c r="R72" s="11">
        <v>881</v>
      </c>
      <c r="S72" s="51">
        <f t="shared" si="25"/>
        <v>3.2871736662883086</v>
      </c>
      <c r="T72" s="19">
        <f t="shared" si="26"/>
        <v>1.1350737797956867</v>
      </c>
      <c r="U72" s="19">
        <f t="shared" si="27"/>
        <v>608</v>
      </c>
      <c r="V72" s="10">
        <v>4.8699999999999998E-20</v>
      </c>
      <c r="W72" s="78">
        <f t="shared" si="28"/>
        <v>4.8700000000000002E-16</v>
      </c>
      <c r="X72" s="11">
        <v>1021</v>
      </c>
      <c r="Y72" s="16">
        <f t="shared" si="29"/>
        <v>2.1351616062683645</v>
      </c>
      <c r="Z72" s="19">
        <f t="shared" si="30"/>
        <v>0.97943192948090108</v>
      </c>
      <c r="AA72" s="19">
        <f t="shared" si="31"/>
        <v>748</v>
      </c>
      <c r="AB72" s="10">
        <v>3.5300000000000002E-17</v>
      </c>
      <c r="AC72" s="17">
        <f t="shared" si="32"/>
        <v>3.5300000000000001E-13</v>
      </c>
    </row>
    <row r="73" spans="1:29" x14ac:dyDescent="0.3">
      <c r="A73" s="9"/>
      <c r="B73" s="9"/>
      <c r="C73" s="9"/>
      <c r="D73" s="9"/>
      <c r="E73" s="9"/>
      <c r="F73" s="13"/>
      <c r="G73" s="52">
        <v>750</v>
      </c>
      <c r="H73" s="19">
        <f t="shared" si="18"/>
        <v>1023</v>
      </c>
      <c r="I73" s="19">
        <f t="shared" si="19"/>
        <v>0.97751710654936463</v>
      </c>
      <c r="J73" s="85">
        <f t="shared" si="20"/>
        <v>1.6891495601173021</v>
      </c>
      <c r="K73" s="61">
        <v>5.5499999999999996E-13</v>
      </c>
      <c r="L73" s="52">
        <v>823</v>
      </c>
      <c r="M73" s="75">
        <f t="shared" si="21"/>
        <v>3.3414337788578372</v>
      </c>
      <c r="N73" s="19">
        <f t="shared" si="22"/>
        <v>1.2150668286755772</v>
      </c>
      <c r="O73" s="19">
        <f t="shared" si="23"/>
        <v>550</v>
      </c>
      <c r="P73" s="10">
        <v>3.37E-21</v>
      </c>
      <c r="Q73" s="77">
        <f t="shared" si="24"/>
        <v>3.3699999999999998E-17</v>
      </c>
      <c r="R73" s="11">
        <v>874</v>
      </c>
      <c r="S73" s="51">
        <f t="shared" si="25"/>
        <v>3.3135011441647597</v>
      </c>
      <c r="T73" s="19">
        <f t="shared" si="26"/>
        <v>1.1441647597254005</v>
      </c>
      <c r="U73" s="19">
        <f t="shared" si="27"/>
        <v>601</v>
      </c>
      <c r="V73" s="10">
        <v>3.8700000000000003E-20</v>
      </c>
      <c r="W73" s="78">
        <f t="shared" si="28"/>
        <v>3.8700000000000003E-16</v>
      </c>
      <c r="X73" s="11">
        <v>1017</v>
      </c>
      <c r="Y73" s="16">
        <f t="shared" si="29"/>
        <v>2.1435594886922322</v>
      </c>
      <c r="Z73" s="19">
        <f t="shared" si="30"/>
        <v>0.98328416912487704</v>
      </c>
      <c r="AA73" s="19">
        <f t="shared" si="31"/>
        <v>744</v>
      </c>
      <c r="AB73" s="10">
        <v>2.8400000000000003E-17</v>
      </c>
      <c r="AC73" s="17">
        <f t="shared" si="32"/>
        <v>2.8400000000000005E-13</v>
      </c>
    </row>
    <row r="74" spans="1:29" x14ac:dyDescent="0.3">
      <c r="A74" s="9"/>
      <c r="B74" s="9"/>
      <c r="C74" s="9"/>
      <c r="D74" s="9"/>
      <c r="E74" s="9"/>
      <c r="F74" s="13"/>
      <c r="G74" s="52">
        <v>710</v>
      </c>
      <c r="H74" s="19">
        <f t="shared" si="18"/>
        <v>983</v>
      </c>
      <c r="I74" s="19">
        <f t="shared" si="19"/>
        <v>1.0172939979654121</v>
      </c>
      <c r="J74" s="85">
        <f t="shared" si="20"/>
        <v>1.7578840284842319</v>
      </c>
      <c r="K74" s="61">
        <v>2.3999999999999999E-13</v>
      </c>
      <c r="L74" s="11"/>
      <c r="M74" s="9"/>
      <c r="N74" s="9"/>
      <c r="O74" s="9"/>
      <c r="P74" s="9"/>
      <c r="Q74" s="13"/>
      <c r="R74" s="11">
        <v>853</v>
      </c>
      <c r="S74" s="51">
        <f t="shared" si="25"/>
        <v>3.3950762016412663</v>
      </c>
      <c r="T74" s="19">
        <f t="shared" si="26"/>
        <v>1.1723329425556859</v>
      </c>
      <c r="U74" s="19">
        <f t="shared" si="27"/>
        <v>580</v>
      </c>
      <c r="V74" s="10">
        <v>1.1899999999999999E-20</v>
      </c>
      <c r="W74" s="78">
        <f t="shared" si="28"/>
        <v>1.1899999999999999E-16</v>
      </c>
      <c r="X74" s="11">
        <v>993</v>
      </c>
      <c r="Y74" s="16">
        <f t="shared" si="29"/>
        <v>2.1953675730110773</v>
      </c>
      <c r="Z74" s="19">
        <f t="shared" si="30"/>
        <v>1.0070493454179255</v>
      </c>
      <c r="AA74" s="19">
        <f t="shared" si="31"/>
        <v>720</v>
      </c>
      <c r="AB74" s="10">
        <v>1.1999999999999999E-17</v>
      </c>
      <c r="AC74" s="17">
        <f t="shared" si="32"/>
        <v>1.1999999999999999E-13</v>
      </c>
    </row>
    <row r="75" spans="1:29" x14ac:dyDescent="0.3">
      <c r="A75" s="9"/>
      <c r="B75" s="9"/>
      <c r="C75" s="9"/>
      <c r="D75" s="9"/>
      <c r="E75" s="9"/>
      <c r="F75" s="13"/>
      <c r="G75" s="52">
        <v>710</v>
      </c>
      <c r="H75" s="19">
        <f t="shared" si="18"/>
        <v>983</v>
      </c>
      <c r="I75" s="19">
        <f t="shared" si="19"/>
        <v>1.0172939979654121</v>
      </c>
      <c r="J75" s="85">
        <f t="shared" si="20"/>
        <v>1.7578840284842319</v>
      </c>
      <c r="K75" s="61">
        <v>1.4999999999999999E-13</v>
      </c>
      <c r="L75" s="11"/>
      <c r="M75" s="9"/>
      <c r="N75" s="9"/>
      <c r="O75" s="9"/>
      <c r="P75" s="9"/>
      <c r="Q75" s="13"/>
      <c r="R75" s="11">
        <v>833</v>
      </c>
      <c r="S75" s="51">
        <f t="shared" si="25"/>
        <v>3.4765906362545018</v>
      </c>
      <c r="T75" s="19">
        <f t="shared" si="26"/>
        <v>1.2004801920768307</v>
      </c>
      <c r="U75" s="19">
        <f t="shared" si="27"/>
        <v>560</v>
      </c>
      <c r="V75" s="10">
        <v>4.7499999999999997E-21</v>
      </c>
      <c r="W75" s="78">
        <f t="shared" si="28"/>
        <v>4.7499999999999995E-17</v>
      </c>
      <c r="X75" s="11">
        <v>974</v>
      </c>
      <c r="Y75" s="16">
        <f t="shared" si="29"/>
        <v>2.238193018480493</v>
      </c>
      <c r="Z75" s="19">
        <f t="shared" si="30"/>
        <v>1.0266940451745379</v>
      </c>
      <c r="AA75" s="19">
        <f t="shared" si="31"/>
        <v>701</v>
      </c>
      <c r="AB75" s="10">
        <v>3.3499999999999999E-18</v>
      </c>
      <c r="AC75" s="17">
        <f t="shared" si="32"/>
        <v>3.3499999999999996E-14</v>
      </c>
    </row>
    <row r="76" spans="1:29" x14ac:dyDescent="0.3">
      <c r="A76" s="9"/>
      <c r="B76" s="9"/>
      <c r="C76" s="9"/>
      <c r="D76" s="9"/>
      <c r="E76" s="9"/>
      <c r="F76" s="13"/>
      <c r="G76" s="52">
        <v>680</v>
      </c>
      <c r="H76" s="19">
        <f t="shared" si="18"/>
        <v>953</v>
      </c>
      <c r="I76" s="19">
        <f t="shared" si="19"/>
        <v>1.0493179433368311</v>
      </c>
      <c r="J76" s="85">
        <f t="shared" si="20"/>
        <v>1.8132214060860441</v>
      </c>
      <c r="K76" s="61">
        <v>6.2999999999999997E-14</v>
      </c>
      <c r="L76" s="11"/>
      <c r="M76" s="9"/>
      <c r="N76" s="9"/>
      <c r="O76" s="9"/>
      <c r="P76" s="9"/>
      <c r="Q76" s="13"/>
      <c r="R76" s="9"/>
      <c r="S76" s="9"/>
      <c r="T76" s="9"/>
      <c r="U76" s="9"/>
      <c r="V76" s="9"/>
      <c r="W76" s="13"/>
      <c r="X76" s="11">
        <v>968</v>
      </c>
      <c r="Y76" s="16">
        <f t="shared" si="29"/>
        <v>2.2520661157024793</v>
      </c>
      <c r="Z76" s="19">
        <f t="shared" si="30"/>
        <v>1.0330578512396693</v>
      </c>
      <c r="AA76" s="19">
        <f t="shared" si="31"/>
        <v>695</v>
      </c>
      <c r="AB76" s="10">
        <v>3.3200000000000001E-18</v>
      </c>
      <c r="AC76" s="17">
        <f t="shared" si="32"/>
        <v>3.32E-14</v>
      </c>
    </row>
    <row r="77" spans="1:29" x14ac:dyDescent="0.3">
      <c r="A77" s="9"/>
      <c r="B77" s="9"/>
      <c r="C77" s="9"/>
      <c r="D77" s="9"/>
      <c r="E77" s="9"/>
      <c r="F77" s="13"/>
      <c r="G77" s="52">
        <v>680</v>
      </c>
      <c r="H77" s="19">
        <f t="shared" si="18"/>
        <v>953</v>
      </c>
      <c r="I77" s="19">
        <f t="shared" si="19"/>
        <v>1.0493179433368311</v>
      </c>
      <c r="J77" s="85">
        <f t="shared" si="20"/>
        <v>1.8132214060860441</v>
      </c>
      <c r="K77" s="61">
        <v>3.5000000000000002E-14</v>
      </c>
      <c r="L77" s="9"/>
      <c r="M77" s="9"/>
      <c r="N77" s="9"/>
      <c r="O77" s="9"/>
      <c r="P77" s="9"/>
      <c r="Q77" s="13"/>
      <c r="R77" s="9"/>
      <c r="S77" s="9"/>
      <c r="T77" s="9"/>
      <c r="U77" s="9"/>
      <c r="V77" s="9"/>
      <c r="W77" s="13"/>
      <c r="X77" s="11">
        <v>944</v>
      </c>
      <c r="Y77" s="16">
        <f t="shared" si="29"/>
        <v>2.3093220338983049</v>
      </c>
      <c r="Z77" s="19">
        <f t="shared" si="30"/>
        <v>1.0593220338983051</v>
      </c>
      <c r="AA77" s="19">
        <f t="shared" si="31"/>
        <v>671</v>
      </c>
      <c r="AB77" s="10">
        <v>1.23E-18</v>
      </c>
      <c r="AC77" s="17">
        <f t="shared" si="32"/>
        <v>1.23E-14</v>
      </c>
    </row>
    <row r="78" spans="1:29" x14ac:dyDescent="0.3">
      <c r="A78" s="9"/>
      <c r="B78" s="9"/>
      <c r="C78" s="9"/>
      <c r="D78" s="9"/>
      <c r="E78" s="9"/>
      <c r="F78" s="13"/>
      <c r="G78" s="52">
        <v>600</v>
      </c>
      <c r="H78" s="19">
        <f t="shared" si="18"/>
        <v>873</v>
      </c>
      <c r="I78" s="19">
        <f t="shared" si="19"/>
        <v>1.1454753722794959</v>
      </c>
      <c r="J78" s="85">
        <f t="shared" si="20"/>
        <v>1.9793814432989691</v>
      </c>
      <c r="K78" s="61">
        <v>3.6000000000000001E-15</v>
      </c>
      <c r="L78" s="9"/>
      <c r="M78" s="9"/>
      <c r="N78" s="9"/>
      <c r="O78" s="9"/>
      <c r="P78" s="9"/>
      <c r="Q78" s="13"/>
      <c r="R78" s="9"/>
      <c r="S78" s="9"/>
      <c r="T78" s="9"/>
      <c r="U78" s="9"/>
      <c r="V78" s="9"/>
      <c r="W78" s="13"/>
      <c r="X78" s="11">
        <v>938</v>
      </c>
      <c r="Y78" s="16">
        <f t="shared" si="29"/>
        <v>2.3240938166311302</v>
      </c>
      <c r="Z78" s="19">
        <f t="shared" si="30"/>
        <v>1.0660980810234542</v>
      </c>
      <c r="AA78" s="19">
        <f t="shared" si="31"/>
        <v>665</v>
      </c>
      <c r="AB78" s="10">
        <v>6.6800000000000003E-19</v>
      </c>
      <c r="AC78" s="17">
        <f t="shared" si="32"/>
        <v>6.6800000000000005E-15</v>
      </c>
    </row>
    <row r="79" spans="1:29" x14ac:dyDescent="0.3">
      <c r="A79" s="9"/>
      <c r="B79" s="9"/>
      <c r="C79" s="9"/>
      <c r="D79" s="9"/>
      <c r="E79" s="9"/>
      <c r="F79" s="13"/>
      <c r="G79" s="19">
        <v>600</v>
      </c>
      <c r="H79" s="19">
        <f t="shared" si="18"/>
        <v>873</v>
      </c>
      <c r="I79" s="19">
        <f t="shared" si="19"/>
        <v>1.1454753722794959</v>
      </c>
      <c r="J79" s="85">
        <f t="shared" si="20"/>
        <v>1.9793814432989691</v>
      </c>
      <c r="K79" s="61">
        <v>2.0999999999999998E-15</v>
      </c>
      <c r="L79" s="9"/>
      <c r="M79" s="9"/>
      <c r="N79" s="9"/>
      <c r="O79" s="9"/>
      <c r="P79" s="9"/>
      <c r="Q79" s="13"/>
      <c r="R79" s="9"/>
      <c r="S79" s="9"/>
      <c r="T79" s="9"/>
      <c r="U79" s="9"/>
      <c r="V79" s="9"/>
      <c r="W79" s="13"/>
      <c r="X79" s="11">
        <v>928</v>
      </c>
      <c r="Y79" s="16">
        <f t="shared" si="29"/>
        <v>2.3491379310344827</v>
      </c>
      <c r="Z79" s="19">
        <f t="shared" si="30"/>
        <v>1.0775862068965518</v>
      </c>
      <c r="AA79" s="19">
        <f t="shared" si="31"/>
        <v>655</v>
      </c>
      <c r="AB79" s="10">
        <v>4.3199999999999999E-19</v>
      </c>
      <c r="AC79" s="17">
        <f t="shared" si="32"/>
        <v>4.32E-15</v>
      </c>
    </row>
    <row r="80" spans="1:29" x14ac:dyDescent="0.3">
      <c r="F80" s="13"/>
      <c r="J80" s="9"/>
      <c r="K80" s="13"/>
      <c r="Q80" s="13"/>
      <c r="W80" s="13"/>
      <c r="X80" s="11">
        <v>928</v>
      </c>
      <c r="Y80" s="16">
        <f t="shared" si="29"/>
        <v>2.3491379310344827</v>
      </c>
      <c r="Z80" s="19">
        <f t="shared" si="30"/>
        <v>1.0775862068965518</v>
      </c>
      <c r="AA80" s="19">
        <f t="shared" si="31"/>
        <v>655</v>
      </c>
      <c r="AB80" s="10">
        <v>3.7499999999999998E-19</v>
      </c>
      <c r="AC80" s="17">
        <f t="shared" si="32"/>
        <v>3.7499999999999998E-15</v>
      </c>
    </row>
    <row r="81" spans="6:29" x14ac:dyDescent="0.3">
      <c r="F81" s="13"/>
      <c r="J81" s="9"/>
      <c r="K81" s="13"/>
      <c r="Q81" s="13"/>
      <c r="W81" s="13"/>
      <c r="X81" s="11">
        <v>927</v>
      </c>
      <c r="Y81" s="16">
        <f t="shared" si="29"/>
        <v>2.3516720604099244</v>
      </c>
      <c r="Z81" s="19">
        <f t="shared" si="30"/>
        <v>1.0787486515641855</v>
      </c>
      <c r="AA81" s="19">
        <f t="shared" si="31"/>
        <v>654</v>
      </c>
      <c r="AB81" s="10">
        <v>3.4700000000000001E-19</v>
      </c>
      <c r="AC81" s="17">
        <f t="shared" si="32"/>
        <v>3.47E-15</v>
      </c>
    </row>
    <row r="82" spans="6:29" x14ac:dyDescent="0.3">
      <c r="F82" s="13"/>
      <c r="J82" s="9"/>
      <c r="K82" s="13"/>
      <c r="Q82" s="13"/>
      <c r="W82" s="13"/>
      <c r="X82" s="11">
        <v>894</v>
      </c>
      <c r="Y82" s="16">
        <f t="shared" si="29"/>
        <v>2.4384787472035794</v>
      </c>
      <c r="Z82" s="19">
        <f t="shared" si="30"/>
        <v>1.1185682326621924</v>
      </c>
      <c r="AA82" s="19">
        <f t="shared" si="31"/>
        <v>621</v>
      </c>
      <c r="AB82" s="10">
        <v>8.6800000000000005E-20</v>
      </c>
      <c r="AC82" s="17">
        <f t="shared" si="32"/>
        <v>8.68E-16</v>
      </c>
    </row>
    <row r="83" spans="6:29" x14ac:dyDescent="0.3">
      <c r="F83" s="13"/>
      <c r="J83" s="9"/>
      <c r="K83" s="13"/>
      <c r="Q83" s="13"/>
      <c r="W83" s="13"/>
      <c r="X83" s="11">
        <v>885</v>
      </c>
      <c r="Y83" s="16">
        <f t="shared" si="29"/>
        <v>2.463276836158192</v>
      </c>
      <c r="Z83" s="19">
        <f t="shared" si="30"/>
        <v>1.1299435028248588</v>
      </c>
      <c r="AA83" s="19">
        <f t="shared" si="31"/>
        <v>612</v>
      </c>
      <c r="AB83" s="10">
        <v>3.7200000000000001E-20</v>
      </c>
      <c r="AC83" s="17">
        <f t="shared" si="32"/>
        <v>3.7200000000000003E-16</v>
      </c>
    </row>
    <row r="84" spans="6:29" x14ac:dyDescent="0.3">
      <c r="Z84" s="86"/>
      <c r="AA84" s="86"/>
    </row>
  </sheetData>
  <mergeCells count="8">
    <mergeCell ref="A52:F52"/>
    <mergeCell ref="G52:J52"/>
    <mergeCell ref="L52:Q52"/>
    <mergeCell ref="R52:W52"/>
    <mergeCell ref="X52:AC52"/>
    <mergeCell ref="A1:F1"/>
    <mergeCell ref="G1:O1"/>
    <mergeCell ref="P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References</vt:lpstr>
      <vt:lpstr>Interstitial</vt:lpstr>
      <vt:lpstr>Substitutional</vt:lpstr>
      <vt:lpstr>Combined</vt:lpstr>
      <vt:lpstr>Structure Dep.</vt:lpstr>
      <vt:lpstr>Tm Normalized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Bali, Anirudh (baliad)</dc:creator>
  <cp:lastModifiedBy>Bali, Anirudh (baliad)</cp:lastModifiedBy>
  <dcterms:created xsi:type="dcterms:W3CDTF">2026-03-22T00:41:19Z</dcterms:created>
  <dcterms:modified xsi:type="dcterms:W3CDTF">2026-03-24T23:50:09Z</dcterms:modified>
</cp:coreProperties>
</file>